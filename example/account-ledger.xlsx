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Local Storage\Repositories\Finance\Lattice\example\"/>
    </mc:Choice>
  </mc:AlternateContent>
  <xr:revisionPtr revIDLastSave="0" documentId="13_ncr:1_{453BAD59-C8AE-472C-BDF9-F583EAB00AB5}" xr6:coauthVersionLast="47" xr6:coauthVersionMax="47" xr10:uidLastSave="{00000000-0000-0000-0000-000000000000}"/>
  <bookViews>
    <workbookView xWindow="51495" yWindow="3420" windowWidth="194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1" l="1" a="1"/>
  <c r="H41" i="1" a="1"/>
  <c r="H40" i="1" a="1"/>
  <c r="H39" i="1" a="1"/>
  <c r="H38" i="1" a="1"/>
  <c r="F34" i="1" a="1"/>
  <c r="D42" i="1" a="1"/>
  <c r="D41" i="1" a="1"/>
  <c r="D40" i="1" a="1"/>
  <c r="D39" i="1" a="1"/>
  <c r="D38" i="1" a="1"/>
  <c r="D37" i="1" a="1"/>
  <c r="D36" i="1" a="1"/>
  <c r="D35" i="1" a="1"/>
  <c r="D34" i="1" a="1"/>
  <c r="B34" i="1" a="1"/>
  <c r="H9" i="1"/>
  <c r="D14" i="1"/>
  <c r="C12" i="1"/>
  <c r="D9" i="1"/>
  <c r="G5" i="1"/>
  <c r="G2" i="1"/>
  <c r="H3" i="1"/>
  <c r="C5" i="1"/>
  <c r="D3" i="1"/>
  <c r="H36" i="1" l="1" a="1"/>
  <c r="H37" i="1" a="1"/>
  <c r="H35" i="1" a="1"/>
  <c r="H34" i="1" a="1"/>
  <c r="G8" i="1"/>
  <c r="D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<sst xmlns="http://schemas.openxmlformats.org/spreadsheetml/2006/main" count="18" uniqueCount="7">
  <si>
    <t>Cash</t>
  </si>
  <si>
    <t>Opening Balance</t>
  </si>
  <si>
    <t>Net Transfers</t>
  </si>
  <si>
    <t>Capital Gains or Losses</t>
  </si>
  <si>
    <t>A (Currency)</t>
  </si>
  <si>
    <t>B (Currency)</t>
  </si>
  <si>
    <t>Foreign Exchange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</si>
</sst>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indent="2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42"/>
  <sheetViews>
    <sheetView tabSelected="1" topLeftCell="A13" workbookViewId="0">
      <selection activeCell="F24" sqref="F24"/>
    </sheetView>
  </sheetViews>
  <sheetFormatPr defaultRowHeight="15" x14ac:dyDescent="0.25"/>
  <cols>
    <col min="2" max="2" width="43.5703125" customWidth="1"/>
    <col min="3" max="4" width="13" customWidth="1"/>
    <col min="6" max="6" width="43.5703125" customWidth="1"/>
    <col min="7" max="8" width="13" customWidth="1"/>
  </cols>
  <sheetData>
    <row r="1" spans="2:8" x14ac:dyDescent="0.25">
      <c r="B1" s="2" t="s">
        <v>4</v>
      </c>
      <c r="C1" s="2"/>
      <c r="D1" s="2"/>
      <c r="F1" s="2" t="s">
        <v>5</v>
      </c>
      <c r="G1" s="2"/>
      <c r="H1" s="2"/>
    </row>
    <row r="2" spans="2:8" x14ac:dyDescent="0.25">
      <c r="B2" t="s">
        <v>0</v>
      </c>
      <c r="C2">
        <v>1000</v>
      </c>
      <c r="F2" t="s">
        <v>0</v>
      </c>
      <c r="G2">
        <f>H3</f>
        <v>250</v>
      </c>
    </row>
    <row r="3" spans="2:8" x14ac:dyDescent="0.25">
      <c r="B3" s="1" t="s">
        <v>1</v>
      </c>
      <c r="D3">
        <f>C2</f>
        <v>1000</v>
      </c>
      <c r="F3" s="1" t="s">
        <v>2</v>
      </c>
      <c r="H3">
        <f>C5*0.5</f>
        <v>250</v>
      </c>
    </row>
    <row r="5" spans="2:8" x14ac:dyDescent="0.25">
      <c r="B5" t="s">
        <v>2</v>
      </c>
      <c r="C5">
        <f>D6</f>
        <v>500</v>
      </c>
      <c r="F5" t="s">
        <v>2</v>
      </c>
      <c r="G5">
        <f>H6</f>
        <v>250</v>
      </c>
    </row>
    <row r="6" spans="2:8" x14ac:dyDescent="0.25">
      <c r="B6" s="1" t="s">
        <v>0</v>
      </c>
      <c r="D6">
        <v>500</v>
      </c>
      <c r="F6" s="1" t="s">
        <v>0</v>
      </c>
      <c r="H6">
        <v>250</v>
      </c>
    </row>
    <row r="8" spans="2:8" x14ac:dyDescent="0.25">
      <c r="B8" t="s">
        <v>0</v>
      </c>
      <c r="C8">
        <v>550</v>
      </c>
      <c r="F8" t="s">
        <v>0</v>
      </c>
      <c r="G8">
        <f>H9</f>
        <v>500</v>
      </c>
    </row>
    <row r="9" spans="2:8" x14ac:dyDescent="0.25">
      <c r="B9" s="1" t="s">
        <v>2</v>
      </c>
      <c r="D9">
        <f>G5/0.5</f>
        <v>500</v>
      </c>
      <c r="F9" s="1" t="s">
        <v>2</v>
      </c>
      <c r="H9">
        <f>C12*0.5</f>
        <v>500</v>
      </c>
    </row>
    <row r="10" spans="2:8" x14ac:dyDescent="0.25">
      <c r="B10" s="1" t="s">
        <v>3</v>
      </c>
      <c r="D10">
        <f>C8-D9</f>
        <v>50</v>
      </c>
    </row>
    <row r="12" spans="2:8" x14ac:dyDescent="0.25">
      <c r="B12" t="s">
        <v>2</v>
      </c>
      <c r="C12">
        <f>(C2-D6)+500</f>
        <v>1000</v>
      </c>
    </row>
    <row r="13" spans="2:8" x14ac:dyDescent="0.25">
      <c r="B13" t="s">
        <v>6</v>
      </c>
      <c r="C13">
        <v>50</v>
      </c>
    </row>
    <row r="14" spans="2:8" x14ac:dyDescent="0.25">
      <c r="B14" s="1" t="s">
        <v>0</v>
      </c>
      <c r="D14">
        <f>SUM(C12:C13)</f>
        <v>1050</v>
      </c>
    </row>
    <row r="34" spans="2:8" x14ac:dyDescent="0.25">
      <c r="B34" t="str" cm="1">
        <f t="array" ref="B34:B37">_xlfn.LET(_xlpm.x,_xlfn.UNIQUE($B$5:$B$33),_xlfn._xlws.FILTER(_xlpm.x,_xlpm.x&lt;&gt;0))</f>
        <v>Net Transfers</v>
      </c>
      <c r="D34" cm="1">
        <f t="array" ref="D34">SUMPRODUCT(--(B34=B$2:B$33),C$2:C$33-D$2:D$33)</f>
        <v>1000</v>
      </c>
      <c r="F34" t="str" cm="1">
        <f t="array" ref="F34:F37">_xlfn.LET(_xlpm.x,_xlfn.UNIQUE($B$5:$B$33),_xlfn._xlws.FILTER(_xlpm.x,_xlpm.x&lt;&gt;0))</f>
        <v>Net Transfers</v>
      </c>
      <c r="H34" cm="1">
        <f t="array" ref="H34">SUMPRODUCT(--(F34=F$2:F$33),G$2:G$33-H$2:H$33)</f>
        <v>-500</v>
      </c>
    </row>
    <row r="35" spans="2:8" x14ac:dyDescent="0.25">
      <c r="B35" t="str">
        <v>Cash</v>
      </c>
      <c r="D35" cm="1">
        <f t="array" ref="D35">SUMPRODUCT(--(B35=B$2:B$33),C$2:C$33-D$2:D$33)</f>
        <v>0</v>
      </c>
      <c r="F35" t="str">
        <v>Cash</v>
      </c>
      <c r="H35" cm="1">
        <f t="array" ref="H35">SUMPRODUCT(--(F35=F$2:F$33),G$2:G$33-H$2:H$33)</f>
        <v>500</v>
      </c>
    </row>
    <row r="36" spans="2:8" x14ac:dyDescent="0.25">
      <c r="B36" t="str">
        <v>Capital Gains or Losses</v>
      </c>
      <c r="D36" cm="1">
        <f t="array" ref="D36">SUMPRODUCT(--(B36=B$2:B$33),C$2:C$33-D$2:D$33)</f>
        <v>-50</v>
      </c>
      <c r="F36" t="str">
        <v>Capital Gains or Losses</v>
      </c>
      <c r="H36" cm="1">
        <f t="array" ref="H36">SUMPRODUCT(--(F36=F$2:F$33),G$2:G$33-H$2:H$33)</f>
        <v>0</v>
      </c>
    </row>
    <row r="37" spans="2:8" x14ac:dyDescent="0.25">
      <c r="B37" t="str">
        <v>Foreign Exchange Expense</v>
      </c>
      <c r="D37" cm="1">
        <f t="array" ref="D37">SUMPRODUCT(--(B37=B$2:B$33),C$2:C$33-D$2:D$33)</f>
        <v>50</v>
      </c>
      <c r="F37" t="str">
        <v>Foreign Exchange Expense</v>
      </c>
      <c r="H37" cm="1">
        <f t="array" ref="H37">SUMPRODUCT(--(F37=F$2:F$33),G$2:G$33-H$2:H$33)</f>
        <v>0</v>
      </c>
    </row>
    <row r="38" spans="2:8" x14ac:dyDescent="0.25">
      <c r="D38" cm="1">
        <f t="array" ref="D38">SUMPRODUCT(--(B38=B$2:B$33),C$2:C$33-D$2:D$33)</f>
        <v>0</v>
      </c>
      <c r="H38" cm="1">
        <f t="array" ref="H38">SUMPRODUCT(--(F38=F$2:F$33),G$2:G$33-H$2:H$33)</f>
        <v>0</v>
      </c>
    </row>
    <row r="39" spans="2:8" x14ac:dyDescent="0.25">
      <c r="D39" cm="1">
        <f t="array" ref="D39">SUMPRODUCT(--(B39=B$2:B$33),C$2:C$33-D$2:D$33)</f>
        <v>0</v>
      </c>
      <c r="H39" cm="1">
        <f t="array" ref="H39">SUMPRODUCT(--(F39=F$2:F$33),G$2:G$33-H$2:H$33)</f>
        <v>0</v>
      </c>
    </row>
    <row r="40" spans="2:8" x14ac:dyDescent="0.25">
      <c r="D40" cm="1">
        <f t="array" ref="D40">SUMPRODUCT(--(B40=B$2:B$33),C$2:C$33-D$2:D$33)</f>
        <v>0</v>
      </c>
      <c r="H40" cm="1">
        <f t="array" ref="H40">SUMPRODUCT(--(F40=F$2:F$33),G$2:G$33-H$2:H$33)</f>
        <v>0</v>
      </c>
    </row>
    <row r="41" spans="2:8" x14ac:dyDescent="0.25">
      <c r="D41" cm="1">
        <f t="array" ref="D41">SUMPRODUCT(--(B41=B$2:B$33),C$2:C$33-D$2:D$33)</f>
        <v>0</v>
      </c>
      <c r="H41" cm="1">
        <f t="array" ref="H41">SUMPRODUCT(--(F41=F$2:F$33),G$2:G$33-H$2:H$33)</f>
        <v>0</v>
      </c>
    </row>
    <row r="42" spans="2:8" x14ac:dyDescent="0.25">
      <c r="D42" cm="1">
        <f t="array" ref="D42">SUMPRODUCT(--(B42=B$2:B$33),C$2:C$33-D$2:D$33)</f>
        <v>0</v>
      </c>
      <c r="H42" cm="1">
        <f t="array" ref="H42">SUMPRODUCT(--(F42=F$2:F$33),G$2:G$33-H$2:H$33)</f>
        <v>0</v>
      </c>
    </row>
  </sheetData>
  <mergeCells count="2">
    <mergeCell ref="B1:D1"/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Unrau</dc:creator>
  <cp:lastModifiedBy>Kyle Unrau</cp:lastModifiedBy>
  <dcterms:created xsi:type="dcterms:W3CDTF">2015-06-05T18:17:20Z</dcterms:created>
  <dcterms:modified xsi:type="dcterms:W3CDTF">2026-06-16T19:44:58Z</dcterms:modified>
</cp:coreProperties>
</file>
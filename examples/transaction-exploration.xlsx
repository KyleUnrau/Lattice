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Local Storage\Repositories\Finance\Accounting-Software\examples\"/>
    </mc:Choice>
  </mc:AlternateContent>
  <xr:revisionPtr revIDLastSave="0" documentId="13_ncr:1_{6B404AF9-0F4A-4057-9803-36AA58FFC3FD}" xr6:coauthVersionLast="47" xr6:coauthVersionMax="47" xr10:uidLastSave="{00000000-0000-0000-0000-000000000000}"/>
  <bookViews>
    <workbookView xWindow="51495" yWindow="2805" windowWidth="19410" windowHeight="15585" activeTab="1" xr2:uid="{00000000-000D-0000-FFFF-FFFF00000000}"/>
  </bookViews>
  <sheets>
    <sheet name="expense-clawback" sheetId="1" r:id="rId1"/>
    <sheet name="expense-clawback-2" sheetId="6" r:id="rId2"/>
    <sheet name="exchanges-and-residuals" sheetId="2" r:id="rId3"/>
    <sheet name="service-business" sheetId="3" r:id="rId4"/>
    <sheet name="service-business-2" sheetId="4" r:id="rId5"/>
    <sheet name="service-business-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6" l="1"/>
  <c r="L3" i="6"/>
  <c r="H6" i="6"/>
  <c r="G2" i="6"/>
  <c r="H3" i="6"/>
  <c r="D6" i="6"/>
  <c r="D3" i="6"/>
  <c r="G26" i="5"/>
  <c r="G25" i="5"/>
  <c r="G23" i="5"/>
  <c r="G22" i="5"/>
  <c r="C26" i="5"/>
  <c r="C25" i="5"/>
  <c r="C23" i="5"/>
  <c r="H17" i="5"/>
  <c r="D6" i="5"/>
  <c r="H13" i="5"/>
  <c r="H6" i="5"/>
  <c r="D3" i="5"/>
  <c r="C11" i="4"/>
  <c r="D12" i="4"/>
  <c r="G16" i="4"/>
  <c r="G15" i="4"/>
  <c r="H17" i="4"/>
  <c r="H13" i="4"/>
  <c r="D9" i="4"/>
  <c r="C8" i="4"/>
  <c r="G8" i="4"/>
  <c r="G9" i="4"/>
  <c r="G5" i="4"/>
  <c r="H6" i="4"/>
  <c r="D3" i="4"/>
  <c r="D20" i="3"/>
  <c r="D18" i="3"/>
  <c r="C17" i="3"/>
  <c r="D19" i="3"/>
  <c r="G21" i="3"/>
  <c r="G20" i="3"/>
  <c r="D31" i="3"/>
  <c r="C31" i="3"/>
  <c r="C29" i="3"/>
  <c r="C28" i="3"/>
  <c r="B29" i="3"/>
  <c r="B28" i="3"/>
  <c r="C27" i="3"/>
  <c r="B27" i="3"/>
  <c r="C14" i="3"/>
  <c r="D15" i="3"/>
  <c r="C11" i="3"/>
  <c r="D12" i="3"/>
  <c r="C8" i="3"/>
  <c r="D9" i="3"/>
  <c r="H22" i="3"/>
  <c r="H18" i="3"/>
  <c r="H15" i="3"/>
  <c r="H12" i="3"/>
  <c r="H6" i="3"/>
  <c r="C5" i="3"/>
  <c r="D3" i="3"/>
  <c r="G16" i="2"/>
  <c r="H17" i="2"/>
  <c r="D14" i="2"/>
  <c r="D11" i="2"/>
  <c r="D10" i="2"/>
  <c r="D9" i="2"/>
  <c r="G13" i="2"/>
  <c r="G12" i="2"/>
  <c r="H10" i="2"/>
  <c r="H9" i="2"/>
  <c r="K2" i="2"/>
  <c r="G2" i="2"/>
  <c r="H3" i="2"/>
  <c r="D6" i="2"/>
  <c r="D3" i="2"/>
  <c r="D12" i="1"/>
  <c r="C11" i="1"/>
  <c r="H3" i="1"/>
  <c r="G2" i="1"/>
  <c r="D9" i="1"/>
  <c r="D3" i="1"/>
  <c r="D15" i="5" l="1"/>
  <c r="C14" i="5"/>
  <c r="G9" i="5"/>
  <c r="G5" i="5"/>
  <c r="D13" i="4"/>
  <c r="D14" i="4" s="1"/>
  <c r="H3" i="3"/>
  <c r="G2" i="3" s="1"/>
  <c r="D6" i="3"/>
  <c r="L3" i="2"/>
  <c r="C11" i="5" l="1"/>
  <c r="D12" i="5" s="1"/>
  <c r="G8" i="5"/>
</calcChain>
</file>

<file path=xl/sharedStrings.xml><?xml version="1.0" encoding="utf-8"?>
<sst xmlns="http://schemas.openxmlformats.org/spreadsheetml/2006/main" count="147" uniqueCount="26">
  <si>
    <t>Cash</t>
  </si>
  <si>
    <t>Opening Balance</t>
  </si>
  <si>
    <t>CAD</t>
  </si>
  <si>
    <t>USD</t>
  </si>
  <si>
    <t>Oranges</t>
  </si>
  <si>
    <t>Inventory</t>
  </si>
  <si>
    <t>CAD -&gt; USD</t>
  </si>
  <si>
    <t>USD -&gt; Oranges</t>
  </si>
  <si>
    <t>Profit</t>
  </si>
  <si>
    <t>Capital Gains</t>
  </si>
  <si>
    <t>Salary Expense</t>
  </si>
  <si>
    <t>Rent Expense</t>
  </si>
  <si>
    <t>Training Expense</t>
  </si>
  <si>
    <t>Consulting Revenue</t>
  </si>
  <si>
    <t>USD -&gt; CAD</t>
  </si>
  <si>
    <t>CAD Expenses related to consulting revenue</t>
  </si>
  <si>
    <t>Service Revenue</t>
  </si>
  <si>
    <t>Paid in CAD originating from CAD</t>
  </si>
  <si>
    <t>Paid in USD originated from CAD</t>
  </si>
  <si>
    <t>Paid in USD originating from CAD</t>
  </si>
  <si>
    <t>Paid in USD originating from USD</t>
  </si>
  <si>
    <t xml:space="preserve"> </t>
  </si>
  <si>
    <t>Grocery Expense</t>
  </si>
  <si>
    <t>Telecom Expense</t>
  </si>
  <si>
    <t>MXN</t>
  </si>
  <si>
    <t>USD -&gt; 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</si>
</sst>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9" fontId="0" fillId="0" borderId="0" xfId="1" applyFont="1"/>
    <xf numFmtId="0" fontId="0" fillId="2" borderId="0" xfId="0" applyFill="1"/>
    <xf numFmtId="0" fontId="0" fillId="2" borderId="0" xfId="0" applyFill="1" applyAlignment="1">
      <alignment horizontal="left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2"/>
  <sheetViews>
    <sheetView workbookViewId="0">
      <selection activeCell="F6" sqref="F6"/>
    </sheetView>
  </sheetViews>
  <sheetFormatPr defaultRowHeight="15" x14ac:dyDescent="0.25"/>
  <cols>
    <col min="2" max="2" width="51.28515625" customWidth="1"/>
    <col min="3" max="4" width="13.5703125" customWidth="1"/>
    <col min="6" max="6" width="51.28515625" customWidth="1"/>
    <col min="7" max="8" width="13.5703125" customWidth="1"/>
  </cols>
  <sheetData>
    <row r="1" spans="2:8" x14ac:dyDescent="0.25">
      <c r="B1" s="6" t="s">
        <v>2</v>
      </c>
      <c r="C1" s="6"/>
      <c r="D1" s="6"/>
      <c r="F1" s="6" t="s">
        <v>3</v>
      </c>
      <c r="G1" s="6"/>
      <c r="H1" s="6"/>
    </row>
    <row r="2" spans="2:8" x14ac:dyDescent="0.25">
      <c r="B2" t="s">
        <v>0</v>
      </c>
      <c r="C2">
        <v>1000</v>
      </c>
      <c r="F2" t="s">
        <v>0</v>
      </c>
      <c r="G2">
        <f>C8*0.5</f>
        <v>250</v>
      </c>
    </row>
    <row r="3" spans="2:8" x14ac:dyDescent="0.25">
      <c r="B3" s="1" t="s">
        <v>1</v>
      </c>
      <c r="D3">
        <f>C2</f>
        <v>1000</v>
      </c>
      <c r="F3" s="1" t="s">
        <v>6</v>
      </c>
      <c r="H3">
        <f>G2</f>
        <v>250</v>
      </c>
    </row>
    <row r="5" spans="2:8" x14ac:dyDescent="0.25">
      <c r="B5" t="s">
        <v>22</v>
      </c>
      <c r="C5">
        <v>250</v>
      </c>
      <c r="F5" t="s">
        <v>6</v>
      </c>
      <c r="G5">
        <v>100</v>
      </c>
    </row>
    <row r="6" spans="2:8" x14ac:dyDescent="0.25">
      <c r="B6" s="1" t="s">
        <v>0</v>
      </c>
      <c r="D6">
        <v>250</v>
      </c>
      <c r="F6" s="1" t="s">
        <v>0</v>
      </c>
      <c r="H6">
        <v>100</v>
      </c>
    </row>
    <row r="8" spans="2:8" x14ac:dyDescent="0.25">
      <c r="B8" t="s">
        <v>6</v>
      </c>
      <c r="C8">
        <v>500</v>
      </c>
    </row>
    <row r="9" spans="2:8" x14ac:dyDescent="0.25">
      <c r="B9" s="1" t="s">
        <v>0</v>
      </c>
      <c r="D9">
        <f>C8</f>
        <v>500</v>
      </c>
    </row>
    <row r="11" spans="2:8" x14ac:dyDescent="0.25">
      <c r="B11" t="s">
        <v>23</v>
      </c>
      <c r="C11">
        <f>G5*2</f>
        <v>200</v>
      </c>
    </row>
    <row r="12" spans="2:8" x14ac:dyDescent="0.25">
      <c r="B12" s="1" t="s">
        <v>6</v>
      </c>
      <c r="D12">
        <f>C11</f>
        <v>200</v>
      </c>
    </row>
  </sheetData>
  <mergeCells count="2">
    <mergeCell ref="B1:D1"/>
    <mergeCell ref="F1:H1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D996-2C27-405E-BB37-AB12FBE5D294}">
  <dimension ref="B1:L15"/>
  <sheetViews>
    <sheetView tabSelected="1" topLeftCell="E1" workbookViewId="0">
      <selection activeCell="J5" sqref="J5"/>
    </sheetView>
  </sheetViews>
  <sheetFormatPr defaultRowHeight="15" x14ac:dyDescent="0.25"/>
  <cols>
    <col min="2" max="2" width="51.28515625" customWidth="1"/>
    <col min="3" max="4" width="13.5703125" customWidth="1"/>
    <col min="6" max="6" width="51.28515625" customWidth="1"/>
    <col min="7" max="8" width="13.5703125" customWidth="1"/>
    <col min="10" max="10" width="51.28515625" customWidth="1"/>
    <col min="11" max="12" width="13.5703125" customWidth="1"/>
  </cols>
  <sheetData>
    <row r="1" spans="2:12" x14ac:dyDescent="0.25">
      <c r="B1" s="6" t="s">
        <v>2</v>
      </c>
      <c r="C1" s="6"/>
      <c r="D1" s="6"/>
      <c r="F1" s="6" t="s">
        <v>3</v>
      </c>
      <c r="G1" s="6"/>
      <c r="H1" s="6"/>
      <c r="J1" s="6" t="s">
        <v>24</v>
      </c>
      <c r="K1" s="6"/>
      <c r="L1" s="6"/>
    </row>
    <row r="2" spans="2:12" x14ac:dyDescent="0.25">
      <c r="B2" t="s">
        <v>0</v>
      </c>
      <c r="C2">
        <v>1000</v>
      </c>
      <c r="F2" t="s">
        <v>0</v>
      </c>
      <c r="G2">
        <f>H3</f>
        <v>500</v>
      </c>
      <c r="J2" t="s">
        <v>0</v>
      </c>
      <c r="K2">
        <f>L3</f>
        <v>5000</v>
      </c>
    </row>
    <row r="3" spans="2:12" x14ac:dyDescent="0.25">
      <c r="B3" s="1" t="s">
        <v>1</v>
      </c>
      <c r="D3">
        <f>C2</f>
        <v>1000</v>
      </c>
      <c r="F3" s="1" t="s">
        <v>6</v>
      </c>
      <c r="H3">
        <f>C5*0.5</f>
        <v>500</v>
      </c>
      <c r="J3" s="1" t="s">
        <v>25</v>
      </c>
      <c r="L3">
        <f>G5*10</f>
        <v>5000</v>
      </c>
    </row>
    <row r="5" spans="2:12" x14ac:dyDescent="0.25">
      <c r="B5" t="s">
        <v>6</v>
      </c>
      <c r="C5">
        <v>1000</v>
      </c>
      <c r="F5" t="s">
        <v>25</v>
      </c>
      <c r="G5">
        <v>500</v>
      </c>
    </row>
    <row r="6" spans="2:12" x14ac:dyDescent="0.25">
      <c r="B6" s="1" t="s">
        <v>0</v>
      </c>
      <c r="D6">
        <f>C5</f>
        <v>1000</v>
      </c>
      <c r="F6" s="1" t="s">
        <v>0</v>
      </c>
      <c r="H6">
        <f>G5</f>
        <v>500</v>
      </c>
      <c r="J6" s="1"/>
    </row>
    <row r="9" spans="2:12" x14ac:dyDescent="0.25">
      <c r="B9" s="1"/>
    </row>
    <row r="12" spans="2:12" x14ac:dyDescent="0.25">
      <c r="B12" s="1"/>
    </row>
    <row r="15" spans="2:12" x14ac:dyDescent="0.25">
      <c r="C15" t="s">
        <v>21</v>
      </c>
    </row>
  </sheetData>
  <mergeCells count="3">
    <mergeCell ref="B1:D1"/>
    <mergeCell ref="F1:H1"/>
    <mergeCell ref="J1:L1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E68A-CEAB-4827-974C-C143348DB165}">
  <dimension ref="B1:L17"/>
  <sheetViews>
    <sheetView workbookViewId="0">
      <selection activeCell="B16" sqref="B16"/>
    </sheetView>
  </sheetViews>
  <sheetFormatPr defaultRowHeight="15" x14ac:dyDescent="0.25"/>
  <cols>
    <col min="2" max="2" width="51.28515625" customWidth="1"/>
    <col min="3" max="4" width="13.5703125" customWidth="1"/>
    <col min="6" max="6" width="51.28515625" customWidth="1"/>
    <col min="7" max="8" width="13.5703125" customWidth="1"/>
    <col min="10" max="10" width="51.28515625" customWidth="1"/>
    <col min="11" max="12" width="13.5703125" customWidth="1"/>
  </cols>
  <sheetData>
    <row r="1" spans="2:12" x14ac:dyDescent="0.25">
      <c r="B1" s="6" t="s">
        <v>2</v>
      </c>
      <c r="C1" s="6"/>
      <c r="D1" s="6"/>
      <c r="F1" s="6" t="s">
        <v>3</v>
      </c>
      <c r="G1" s="6"/>
      <c r="H1" s="6"/>
      <c r="J1" s="6" t="s">
        <v>4</v>
      </c>
      <c r="K1" s="6"/>
      <c r="L1" s="6"/>
    </row>
    <row r="2" spans="2:12" x14ac:dyDescent="0.25">
      <c r="B2" t="s">
        <v>0</v>
      </c>
      <c r="C2">
        <v>1000</v>
      </c>
      <c r="F2" t="s">
        <v>0</v>
      </c>
      <c r="G2">
        <f>H3</f>
        <v>250</v>
      </c>
      <c r="J2" t="s">
        <v>5</v>
      </c>
      <c r="K2">
        <f>G5/0.25</f>
        <v>1000</v>
      </c>
    </row>
    <row r="3" spans="2:12" x14ac:dyDescent="0.25">
      <c r="B3" s="1" t="s">
        <v>1</v>
      </c>
      <c r="D3">
        <f>C2</f>
        <v>1000</v>
      </c>
      <c r="F3" s="1" t="s">
        <v>6</v>
      </c>
      <c r="H3">
        <f>C5*0.5</f>
        <v>250</v>
      </c>
      <c r="J3" s="1" t="s">
        <v>7</v>
      </c>
      <c r="L3">
        <f>K2</f>
        <v>1000</v>
      </c>
    </row>
    <row r="5" spans="2:12" x14ac:dyDescent="0.25">
      <c r="B5" t="s">
        <v>6</v>
      </c>
      <c r="C5">
        <v>500</v>
      </c>
      <c r="F5" t="s">
        <v>7</v>
      </c>
      <c r="G5">
        <v>250</v>
      </c>
      <c r="J5" t="s">
        <v>7</v>
      </c>
      <c r="K5">
        <v>1000</v>
      </c>
    </row>
    <row r="6" spans="2:12" x14ac:dyDescent="0.25">
      <c r="B6" s="1" t="s">
        <v>0</v>
      </c>
      <c r="D6">
        <f>C5</f>
        <v>500</v>
      </c>
      <c r="F6" s="1" t="s">
        <v>0</v>
      </c>
      <c r="H6">
        <v>250</v>
      </c>
      <c r="J6" s="1" t="s">
        <v>5</v>
      </c>
      <c r="L6">
        <v>1000</v>
      </c>
    </row>
    <row r="8" spans="2:12" x14ac:dyDescent="0.25">
      <c r="B8" t="s">
        <v>0</v>
      </c>
      <c r="C8">
        <v>1250</v>
      </c>
      <c r="F8" t="s">
        <v>0</v>
      </c>
      <c r="G8">
        <v>500</v>
      </c>
    </row>
    <row r="9" spans="2:12" x14ac:dyDescent="0.25">
      <c r="B9" s="1" t="s">
        <v>8</v>
      </c>
      <c r="D9">
        <f>G13*2</f>
        <v>500</v>
      </c>
      <c r="F9" s="1" t="s">
        <v>7</v>
      </c>
      <c r="H9">
        <f>K5*0.25</f>
        <v>250</v>
      </c>
    </row>
    <row r="10" spans="2:12" x14ac:dyDescent="0.25">
      <c r="B10" s="1" t="s">
        <v>6</v>
      </c>
      <c r="D10">
        <f>G12*2</f>
        <v>500</v>
      </c>
      <c r="F10" s="1" t="s">
        <v>8</v>
      </c>
      <c r="H10">
        <f>G8-H9</f>
        <v>250</v>
      </c>
    </row>
    <row r="11" spans="2:12" x14ac:dyDescent="0.25">
      <c r="B11" s="1" t="s">
        <v>9</v>
      </c>
      <c r="D11">
        <f>C8-SUM(D9:D10)</f>
        <v>250</v>
      </c>
    </row>
    <row r="12" spans="2:12" x14ac:dyDescent="0.25">
      <c r="B12" s="1"/>
      <c r="F12" t="s">
        <v>6</v>
      </c>
      <c r="G12">
        <f>H3</f>
        <v>250</v>
      </c>
    </row>
    <row r="13" spans="2:12" x14ac:dyDescent="0.25">
      <c r="B13" s="2" t="s">
        <v>6</v>
      </c>
      <c r="C13">
        <v>1000</v>
      </c>
      <c r="F13" t="s">
        <v>8</v>
      </c>
      <c r="G13">
        <f>H10</f>
        <v>250</v>
      </c>
    </row>
    <row r="14" spans="2:12" x14ac:dyDescent="0.25">
      <c r="B14" s="1" t="s">
        <v>0</v>
      </c>
      <c r="D14">
        <f>C13</f>
        <v>1000</v>
      </c>
      <c r="F14" s="1" t="s">
        <v>0</v>
      </c>
      <c r="H14">
        <v>500</v>
      </c>
    </row>
    <row r="16" spans="2:12" x14ac:dyDescent="0.25">
      <c r="F16" t="s">
        <v>0</v>
      </c>
      <c r="G16">
        <f>H17</f>
        <v>500</v>
      </c>
    </row>
    <row r="17" spans="6:8" x14ac:dyDescent="0.25">
      <c r="F17" s="1" t="s">
        <v>6</v>
      </c>
      <c r="H17">
        <f>C13*0.5</f>
        <v>500</v>
      </c>
    </row>
  </sheetData>
  <mergeCells count="3">
    <mergeCell ref="B1:D1"/>
    <mergeCell ref="F1:H1"/>
    <mergeCell ref="J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04A69-8210-455E-8B3E-C09D18EBBCF8}">
  <dimension ref="B1:H31"/>
  <sheetViews>
    <sheetView workbookViewId="0">
      <selection activeCell="F23" sqref="F23"/>
    </sheetView>
  </sheetViews>
  <sheetFormatPr defaultRowHeight="15" x14ac:dyDescent="0.25"/>
  <cols>
    <col min="2" max="2" width="51.28515625" customWidth="1"/>
    <col min="3" max="4" width="13.5703125" customWidth="1"/>
    <col min="6" max="6" width="51.28515625" customWidth="1"/>
    <col min="7" max="8" width="13.5703125" customWidth="1"/>
  </cols>
  <sheetData>
    <row r="1" spans="2:8" x14ac:dyDescent="0.25">
      <c r="B1" s="6" t="s">
        <v>2</v>
      </c>
      <c r="C1" s="6"/>
      <c r="D1" s="6"/>
      <c r="F1" s="6" t="s">
        <v>3</v>
      </c>
      <c r="G1" s="6"/>
      <c r="H1" s="6"/>
    </row>
    <row r="2" spans="2:8" x14ac:dyDescent="0.25">
      <c r="B2" t="s">
        <v>0</v>
      </c>
      <c r="C2">
        <v>20000</v>
      </c>
      <c r="F2" t="s">
        <v>0</v>
      </c>
      <c r="G2">
        <f>H3</f>
        <v>10000</v>
      </c>
    </row>
    <row r="3" spans="2:8" x14ac:dyDescent="0.25">
      <c r="B3" s="1" t="s">
        <v>1</v>
      </c>
      <c r="D3">
        <f>C2</f>
        <v>20000</v>
      </c>
      <c r="F3" s="1" t="s">
        <v>6</v>
      </c>
      <c r="H3">
        <f>C5*0.5</f>
        <v>10000</v>
      </c>
    </row>
    <row r="5" spans="2:8" x14ac:dyDescent="0.25">
      <c r="B5" t="s">
        <v>6</v>
      </c>
      <c r="C5">
        <f>C2</f>
        <v>20000</v>
      </c>
      <c r="F5" t="s">
        <v>6</v>
      </c>
      <c r="G5">
        <v>2000</v>
      </c>
    </row>
    <row r="6" spans="2:8" x14ac:dyDescent="0.25">
      <c r="B6" s="1" t="s">
        <v>0</v>
      </c>
      <c r="D6">
        <f>C5</f>
        <v>20000</v>
      </c>
      <c r="F6" s="1" t="s">
        <v>0</v>
      </c>
      <c r="H6">
        <f>G5</f>
        <v>2000</v>
      </c>
    </row>
    <row r="8" spans="2:8" x14ac:dyDescent="0.25">
      <c r="B8" t="s">
        <v>10</v>
      </c>
      <c r="C8">
        <f>D9</f>
        <v>4000</v>
      </c>
      <c r="F8" t="s">
        <v>6</v>
      </c>
      <c r="G8">
        <v>3000</v>
      </c>
    </row>
    <row r="9" spans="2:8" x14ac:dyDescent="0.25">
      <c r="B9" s="1" t="s">
        <v>6</v>
      </c>
      <c r="D9">
        <f>G5/0.5</f>
        <v>4000</v>
      </c>
      <c r="F9" s="1" t="s">
        <v>0</v>
      </c>
      <c r="H9">
        <v>3000</v>
      </c>
    </row>
    <row r="10" spans="2:8" x14ac:dyDescent="0.25">
      <c r="B10" s="1"/>
      <c r="F10" s="1"/>
    </row>
    <row r="11" spans="2:8" x14ac:dyDescent="0.25">
      <c r="B11" s="2" t="s">
        <v>11</v>
      </c>
      <c r="C11">
        <f>D12</f>
        <v>6000</v>
      </c>
      <c r="F11" t="s">
        <v>6</v>
      </c>
      <c r="G11">
        <v>1000</v>
      </c>
    </row>
    <row r="12" spans="2:8" x14ac:dyDescent="0.25">
      <c r="B12" s="1" t="s">
        <v>6</v>
      </c>
      <c r="D12">
        <f>G8/0.5</f>
        <v>6000</v>
      </c>
      <c r="F12" s="1" t="s">
        <v>0</v>
      </c>
      <c r="H12">
        <f>G11</f>
        <v>1000</v>
      </c>
    </row>
    <row r="13" spans="2:8" x14ac:dyDescent="0.25">
      <c r="B13" s="2"/>
    </row>
    <row r="14" spans="2:8" x14ac:dyDescent="0.25">
      <c r="B14" s="2" t="s">
        <v>12</v>
      </c>
      <c r="C14">
        <f>D15</f>
        <v>2000</v>
      </c>
      <c r="F14" s="2" t="s">
        <v>0</v>
      </c>
      <c r="G14">
        <v>7000</v>
      </c>
    </row>
    <row r="15" spans="2:8" x14ac:dyDescent="0.25">
      <c r="B15" s="1" t="s">
        <v>6</v>
      </c>
      <c r="D15">
        <f>G11/0.5</f>
        <v>2000</v>
      </c>
      <c r="F15" s="1" t="s">
        <v>13</v>
      </c>
      <c r="H15">
        <f>G14</f>
        <v>7000</v>
      </c>
    </row>
    <row r="17" spans="2:8" x14ac:dyDescent="0.25">
      <c r="B17" t="s">
        <v>0</v>
      </c>
      <c r="C17">
        <f>(H22/0.5)+250</f>
        <v>34250</v>
      </c>
      <c r="F17" s="2" t="s">
        <v>0</v>
      </c>
      <c r="G17">
        <v>6000</v>
      </c>
    </row>
    <row r="18" spans="2:8" x14ac:dyDescent="0.25">
      <c r="B18" s="1" t="s">
        <v>13</v>
      </c>
      <c r="D18">
        <f>G21/0.5</f>
        <v>26000</v>
      </c>
      <c r="F18" s="1" t="s">
        <v>13</v>
      </c>
      <c r="H18">
        <f>G17</f>
        <v>6000</v>
      </c>
    </row>
    <row r="19" spans="2:8" x14ac:dyDescent="0.25">
      <c r="B19" s="1" t="s">
        <v>6</v>
      </c>
      <c r="D19">
        <f>G20/0.5</f>
        <v>8000</v>
      </c>
    </row>
    <row r="20" spans="2:8" x14ac:dyDescent="0.25">
      <c r="B20" s="1" t="s">
        <v>9</v>
      </c>
      <c r="D20">
        <f>C17-SUM(D18:D19)</f>
        <v>250</v>
      </c>
      <c r="F20" t="s">
        <v>6</v>
      </c>
      <c r="G20">
        <f>H3-G5-G8-G11</f>
        <v>4000</v>
      </c>
    </row>
    <row r="21" spans="2:8" x14ac:dyDescent="0.25">
      <c r="F21" t="s">
        <v>13</v>
      </c>
      <c r="G21">
        <f>H15+H18</f>
        <v>13000</v>
      </c>
    </row>
    <row r="22" spans="2:8" x14ac:dyDescent="0.25">
      <c r="F22" s="1" t="s">
        <v>0</v>
      </c>
      <c r="H22">
        <f>G2-H6-H9-H12+G14+G17</f>
        <v>17000</v>
      </c>
    </row>
    <row r="27" spans="2:8" x14ac:dyDescent="0.25">
      <c r="B27" t="str">
        <f>B8</f>
        <v>Salary Expense</v>
      </c>
      <c r="C27">
        <f>C8</f>
        <v>4000</v>
      </c>
    </row>
    <row r="28" spans="2:8" x14ac:dyDescent="0.25">
      <c r="B28" t="str">
        <f>B11</f>
        <v>Rent Expense</v>
      </c>
      <c r="C28">
        <f>C11</f>
        <v>6000</v>
      </c>
    </row>
    <row r="29" spans="2:8" x14ac:dyDescent="0.25">
      <c r="B29" t="str">
        <f>B14</f>
        <v>Training Expense</v>
      </c>
      <c r="C29">
        <f>C14</f>
        <v>2000</v>
      </c>
    </row>
    <row r="31" spans="2:8" x14ac:dyDescent="0.25">
      <c r="B31" t="s">
        <v>15</v>
      </c>
      <c r="C31">
        <f>SUM(C27:C29)</f>
        <v>12000</v>
      </c>
      <c r="D31" s="3">
        <f>C31/C31</f>
        <v>1</v>
      </c>
    </row>
  </sheetData>
  <mergeCells count="2">
    <mergeCell ref="B1:D1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0342-EC13-4314-AE08-8A25386B59A3}">
  <dimension ref="B1:H31"/>
  <sheetViews>
    <sheetView workbookViewId="0">
      <selection activeCell="F2" sqref="F2"/>
    </sheetView>
  </sheetViews>
  <sheetFormatPr defaultRowHeight="15" x14ac:dyDescent="0.25"/>
  <cols>
    <col min="2" max="2" width="51.28515625" customWidth="1"/>
    <col min="3" max="4" width="13.5703125" customWidth="1"/>
    <col min="6" max="6" width="51.28515625" customWidth="1"/>
    <col min="7" max="8" width="13.5703125" customWidth="1"/>
  </cols>
  <sheetData>
    <row r="1" spans="2:8" x14ac:dyDescent="0.25">
      <c r="B1" s="6" t="s">
        <v>2</v>
      </c>
      <c r="C1" s="6"/>
      <c r="D1" s="6"/>
      <c r="F1" s="6" t="s">
        <v>3</v>
      </c>
      <c r="G1" s="6"/>
      <c r="H1" s="6"/>
    </row>
    <row r="2" spans="2:8" x14ac:dyDescent="0.25">
      <c r="B2" t="s">
        <v>0</v>
      </c>
      <c r="C2">
        <v>2000</v>
      </c>
      <c r="F2" t="s">
        <v>0</v>
      </c>
      <c r="G2">
        <v>1000</v>
      </c>
    </row>
    <row r="3" spans="2:8" x14ac:dyDescent="0.25">
      <c r="B3" s="1" t="s">
        <v>1</v>
      </c>
      <c r="D3">
        <f>C2</f>
        <v>2000</v>
      </c>
      <c r="F3" s="1" t="s">
        <v>1</v>
      </c>
      <c r="H3">
        <v>1000</v>
      </c>
    </row>
    <row r="5" spans="2:8" x14ac:dyDescent="0.25">
      <c r="B5" t="s">
        <v>6</v>
      </c>
      <c r="C5">
        <v>2000</v>
      </c>
      <c r="F5" t="s">
        <v>0</v>
      </c>
      <c r="G5">
        <f>H6</f>
        <v>1000</v>
      </c>
    </row>
    <row r="6" spans="2:8" x14ac:dyDescent="0.25">
      <c r="B6" s="1" t="s">
        <v>0</v>
      </c>
      <c r="D6">
        <v>2000</v>
      </c>
      <c r="F6" s="1" t="s">
        <v>6</v>
      </c>
      <c r="H6">
        <f>C5*0.5</f>
        <v>1000</v>
      </c>
    </row>
    <row r="8" spans="2:8" x14ac:dyDescent="0.25">
      <c r="B8" t="s">
        <v>10</v>
      </c>
      <c r="C8">
        <f>G9/0.5</f>
        <v>2000</v>
      </c>
      <c r="F8" t="s">
        <v>10</v>
      </c>
      <c r="G8">
        <f>H10-G9</f>
        <v>1000</v>
      </c>
    </row>
    <row r="9" spans="2:8" x14ac:dyDescent="0.25">
      <c r="B9" s="1" t="s">
        <v>6</v>
      </c>
      <c r="D9">
        <f>C8</f>
        <v>2000</v>
      </c>
      <c r="F9" t="s">
        <v>6</v>
      </c>
      <c r="G9">
        <f>H6</f>
        <v>1000</v>
      </c>
    </row>
    <row r="10" spans="2:8" x14ac:dyDescent="0.25">
      <c r="B10" s="1"/>
      <c r="F10" s="1" t="s">
        <v>0</v>
      </c>
      <c r="H10">
        <v>2000</v>
      </c>
    </row>
    <row r="11" spans="2:8" x14ac:dyDescent="0.25">
      <c r="B11" s="2" t="s">
        <v>0</v>
      </c>
      <c r="C11">
        <f>(H17/0.5)+500</f>
        <v>6500</v>
      </c>
    </row>
    <row r="12" spans="2:8" x14ac:dyDescent="0.25">
      <c r="B12" s="1" t="s">
        <v>16</v>
      </c>
      <c r="D12">
        <f>G15/0.5</f>
        <v>3000</v>
      </c>
      <c r="F12" s="2" t="s">
        <v>0</v>
      </c>
      <c r="G12">
        <v>3000</v>
      </c>
    </row>
    <row r="13" spans="2:8" x14ac:dyDescent="0.25">
      <c r="B13" s="1" t="s">
        <v>14</v>
      </c>
      <c r="D13">
        <f>C11*50%</f>
        <v>3250</v>
      </c>
      <c r="F13" s="1" t="s">
        <v>16</v>
      </c>
      <c r="H13">
        <f>G12</f>
        <v>3000</v>
      </c>
    </row>
    <row r="14" spans="2:8" x14ac:dyDescent="0.25">
      <c r="B14" s="1" t="s">
        <v>9</v>
      </c>
      <c r="D14">
        <f>C11-SUM(D12:D13)</f>
        <v>250</v>
      </c>
      <c r="F14" s="2"/>
    </row>
    <row r="15" spans="2:8" x14ac:dyDescent="0.25">
      <c r="B15" s="1"/>
      <c r="F15" s="2" t="s">
        <v>16</v>
      </c>
      <c r="G15">
        <f>H17*50%</f>
        <v>1500</v>
      </c>
    </row>
    <row r="16" spans="2:8" x14ac:dyDescent="0.25">
      <c r="F16" s="2" t="s">
        <v>14</v>
      </c>
      <c r="G16">
        <f>H17-G15</f>
        <v>1500</v>
      </c>
    </row>
    <row r="17" spans="2:8" x14ac:dyDescent="0.25">
      <c r="F17" s="1" t="s">
        <v>0</v>
      </c>
      <c r="H17">
        <f>G12</f>
        <v>3000</v>
      </c>
    </row>
    <row r="18" spans="2:8" x14ac:dyDescent="0.25">
      <c r="B18" s="1"/>
      <c r="F18" s="1"/>
    </row>
    <row r="19" spans="2:8" x14ac:dyDescent="0.25">
      <c r="B19" s="1"/>
    </row>
    <row r="20" spans="2:8" x14ac:dyDescent="0.25">
      <c r="B20" s="1"/>
    </row>
    <row r="22" spans="2:8" x14ac:dyDescent="0.25">
      <c r="F22" s="1"/>
    </row>
    <row r="31" spans="2:8" x14ac:dyDescent="0.25">
      <c r="D31" s="3"/>
    </row>
  </sheetData>
  <mergeCells count="2">
    <mergeCell ref="B1:D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48FBA-8570-4A5E-AECE-86679B8EAB09}">
  <dimension ref="B1:H31"/>
  <sheetViews>
    <sheetView workbookViewId="0">
      <selection activeCell="D16" sqref="D16"/>
    </sheetView>
  </sheetViews>
  <sheetFormatPr defaultRowHeight="15" x14ac:dyDescent="0.25"/>
  <cols>
    <col min="2" max="2" width="51.28515625" customWidth="1"/>
    <col min="3" max="4" width="13.5703125" customWidth="1"/>
    <col min="6" max="6" width="51.28515625" customWidth="1"/>
    <col min="7" max="8" width="13.5703125" customWidth="1"/>
  </cols>
  <sheetData>
    <row r="1" spans="2:8" x14ac:dyDescent="0.25">
      <c r="B1" s="6" t="s">
        <v>2</v>
      </c>
      <c r="C1" s="6"/>
      <c r="D1" s="6"/>
      <c r="F1" s="6" t="s">
        <v>3</v>
      </c>
      <c r="G1" s="6"/>
      <c r="H1" s="6"/>
    </row>
    <row r="2" spans="2:8" x14ac:dyDescent="0.25">
      <c r="B2" t="s">
        <v>0</v>
      </c>
      <c r="C2">
        <v>4000</v>
      </c>
      <c r="F2" t="s">
        <v>0</v>
      </c>
      <c r="G2">
        <v>1000</v>
      </c>
    </row>
    <row r="3" spans="2:8" x14ac:dyDescent="0.25">
      <c r="B3" s="1" t="s">
        <v>1</v>
      </c>
      <c r="D3">
        <f>C2</f>
        <v>4000</v>
      </c>
      <c r="F3" s="1" t="s">
        <v>1</v>
      </c>
      <c r="H3">
        <v>1000</v>
      </c>
    </row>
    <row r="5" spans="2:8" x14ac:dyDescent="0.25">
      <c r="B5" t="s">
        <v>11</v>
      </c>
      <c r="C5">
        <v>2000</v>
      </c>
      <c r="F5" t="s">
        <v>0</v>
      </c>
      <c r="G5">
        <f>H6</f>
        <v>1000</v>
      </c>
    </row>
    <row r="6" spans="2:8" x14ac:dyDescent="0.25">
      <c r="B6" s="1" t="s">
        <v>0</v>
      </c>
      <c r="D6">
        <f>C5</f>
        <v>2000</v>
      </c>
      <c r="F6" s="1" t="s">
        <v>6</v>
      </c>
      <c r="H6">
        <f>C8*0.5</f>
        <v>1000</v>
      </c>
    </row>
    <row r="8" spans="2:8" x14ac:dyDescent="0.25">
      <c r="B8" t="s">
        <v>6</v>
      </c>
      <c r="C8">
        <v>2000</v>
      </c>
      <c r="F8" t="s">
        <v>10</v>
      </c>
      <c r="G8">
        <f>H10-G9</f>
        <v>1000</v>
      </c>
    </row>
    <row r="9" spans="2:8" x14ac:dyDescent="0.25">
      <c r="B9" s="1" t="s">
        <v>0</v>
      </c>
      <c r="D9">
        <v>2000</v>
      </c>
      <c r="F9" t="s">
        <v>6</v>
      </c>
      <c r="G9">
        <f>H6</f>
        <v>1000</v>
      </c>
    </row>
    <row r="10" spans="2:8" x14ac:dyDescent="0.25">
      <c r="F10" s="1" t="s">
        <v>0</v>
      </c>
      <c r="H10">
        <v>2000</v>
      </c>
    </row>
    <row r="11" spans="2:8" x14ac:dyDescent="0.25">
      <c r="B11" t="s">
        <v>10</v>
      </c>
      <c r="C11">
        <f>G9/0.5</f>
        <v>2000</v>
      </c>
    </row>
    <row r="12" spans="2:8" x14ac:dyDescent="0.25">
      <c r="B12" s="1" t="s">
        <v>6</v>
      </c>
      <c r="D12">
        <f>C11</f>
        <v>2000</v>
      </c>
      <c r="F12" s="2" t="s">
        <v>0</v>
      </c>
      <c r="G12">
        <v>3000</v>
      </c>
    </row>
    <row r="13" spans="2:8" x14ac:dyDescent="0.25">
      <c r="B13" s="1"/>
      <c r="F13" s="1" t="s">
        <v>16</v>
      </c>
      <c r="H13">
        <f>G12</f>
        <v>3000</v>
      </c>
    </row>
    <row r="14" spans="2:8" x14ac:dyDescent="0.25">
      <c r="B14" s="2" t="s">
        <v>0</v>
      </c>
      <c r="C14">
        <f>(H17/0.5)+500</f>
        <v>6500</v>
      </c>
      <c r="F14" s="2"/>
    </row>
    <row r="15" spans="2:8" x14ac:dyDescent="0.25">
      <c r="B15" s="1" t="s">
        <v>16</v>
      </c>
      <c r="D15">
        <f>G15/0.5</f>
        <v>4000</v>
      </c>
      <c r="F15" s="2" t="s">
        <v>16</v>
      </c>
      <c r="G15">
        <v>2000</v>
      </c>
    </row>
    <row r="16" spans="2:8" x14ac:dyDescent="0.25">
      <c r="B16" s="1" t="s">
        <v>14</v>
      </c>
      <c r="F16" s="2" t="s">
        <v>14</v>
      </c>
      <c r="G16">
        <v>1000</v>
      </c>
    </row>
    <row r="17" spans="2:8" x14ac:dyDescent="0.25">
      <c r="B17" s="1" t="s">
        <v>9</v>
      </c>
      <c r="F17" s="1" t="s">
        <v>0</v>
      </c>
      <c r="H17">
        <f>G12</f>
        <v>3000</v>
      </c>
    </row>
    <row r="18" spans="2:8" x14ac:dyDescent="0.25">
      <c r="B18" s="1"/>
      <c r="F18" s="1"/>
    </row>
    <row r="19" spans="2:8" x14ac:dyDescent="0.25">
      <c r="B19" s="1"/>
    </row>
    <row r="20" spans="2:8" x14ac:dyDescent="0.25">
      <c r="B20" s="1"/>
    </row>
    <row r="22" spans="2:8" x14ac:dyDescent="0.25">
      <c r="B22" t="s">
        <v>11</v>
      </c>
      <c r="C22">
        <v>2000</v>
      </c>
      <c r="F22" t="s">
        <v>10</v>
      </c>
      <c r="G22">
        <f>G8</f>
        <v>1000</v>
      </c>
    </row>
    <row r="23" spans="2:8" x14ac:dyDescent="0.25">
      <c r="B23" t="s">
        <v>17</v>
      </c>
      <c r="C23">
        <f>C22</f>
        <v>2000</v>
      </c>
      <c r="F23" t="s">
        <v>20</v>
      </c>
      <c r="G23">
        <f>G22</f>
        <v>1000</v>
      </c>
    </row>
    <row r="25" spans="2:8" x14ac:dyDescent="0.25">
      <c r="B25" s="4" t="s">
        <v>10</v>
      </c>
      <c r="C25" s="4">
        <f>C11</f>
        <v>2000</v>
      </c>
      <c r="D25" s="4"/>
      <c r="E25" s="4"/>
      <c r="F25" s="5" t="s">
        <v>10</v>
      </c>
      <c r="G25" s="4">
        <f>G9</f>
        <v>1000</v>
      </c>
    </row>
    <row r="26" spans="2:8" x14ac:dyDescent="0.25">
      <c r="B26" s="4" t="s">
        <v>18</v>
      </c>
      <c r="C26" s="4">
        <f>C25</f>
        <v>2000</v>
      </c>
      <c r="D26" s="4"/>
      <c r="E26" s="4"/>
      <c r="F26" s="4" t="s">
        <v>19</v>
      </c>
      <c r="G26" s="4">
        <f>G25</f>
        <v>1000</v>
      </c>
    </row>
    <row r="31" spans="2:8" x14ac:dyDescent="0.25">
      <c r="D31" s="3"/>
    </row>
  </sheetData>
  <mergeCells count="2">
    <mergeCell ref="B1:D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expense-clawback</vt:lpstr>
      <vt:lpstr>expense-clawback-2</vt:lpstr>
      <vt:lpstr>exchanges-and-residuals</vt:lpstr>
      <vt:lpstr>service-business</vt:lpstr>
      <vt:lpstr>service-business-2</vt:lpstr>
      <vt:lpstr>service-business-3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Unrau</dc:creator>
  <cp:lastModifiedBy>Kyle Unrau</cp:lastModifiedBy>
  <dcterms:created xsi:type="dcterms:W3CDTF">2015-06-05T18:17:20Z</dcterms:created>
  <dcterms:modified xsi:type="dcterms:W3CDTF">2026-06-13T23:42:08Z</dcterms:modified>
</cp:coreProperties>
</file>
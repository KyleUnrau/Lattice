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uter\Repositories\Finance\Accounting-Software\"/>
    </mc:Choice>
  </mc:AlternateContent>
  <xr:revisionPtr revIDLastSave="0" documentId="13_ncr:1_{76D27C59-748D-4293-9B07-820A9C16689E}" xr6:coauthVersionLast="47" xr6:coauthVersionMax="47" xr10:uidLastSave="{00000000-0000-0000-0000-000000000000}"/>
  <bookViews>
    <workbookView xWindow="30120" yWindow="0" windowWidth="21585" windowHeight="20985" activeTab="2" xr2:uid="{91E73AE1-1BE0-48E2-9EE7-3259FD375F46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18" i="3"/>
  <c r="D20" i="3"/>
  <c r="C17" i="3"/>
  <c r="N10" i="3"/>
  <c r="N7" i="3"/>
  <c r="M6" i="3"/>
  <c r="I10" i="3"/>
  <c r="D14" i="3"/>
  <c r="D15" i="3" s="1"/>
  <c r="D12" i="3"/>
  <c r="C11" i="3"/>
  <c r="I7" i="3"/>
  <c r="H3" i="3"/>
  <c r="I4" i="3" s="1"/>
  <c r="C8" i="3"/>
  <c r="C6" i="3" s="1"/>
  <c r="R3" i="3"/>
  <c r="Q3" i="3"/>
  <c r="M47" i="3" a="1"/>
  <c r="M47" i="3" s="1"/>
  <c r="N4" i="3"/>
  <c r="D4" i="3"/>
  <c r="D21" i="2"/>
  <c r="D22" i="2" s="1"/>
  <c r="D46" i="2" s="1" a="1"/>
  <c r="D46" i="2" s="1"/>
  <c r="C46" i="2" a="1"/>
  <c r="C46" i="2" s="1"/>
  <c r="S54" i="2"/>
  <c r="S53" i="2"/>
  <c r="S52" i="2"/>
  <c r="S51" i="2"/>
  <c r="S50" i="2"/>
  <c r="S49" i="2"/>
  <c r="S46" i="2"/>
  <c r="S45" i="2"/>
  <c r="S44" i="2"/>
  <c r="S43" i="2"/>
  <c r="S42" i="2"/>
  <c r="S41" i="2"/>
  <c r="W56" i="2"/>
  <c r="W55" i="2"/>
  <c r="W54" i="2"/>
  <c r="W51" i="2"/>
  <c r="W50" i="2"/>
  <c r="W47" i="2"/>
  <c r="W46" i="2"/>
  <c r="C20" i="2"/>
  <c r="H20" i="2"/>
  <c r="I21" i="2"/>
  <c r="D17" i="2"/>
  <c r="C16" i="2"/>
  <c r="S38" i="2"/>
  <c r="S37" i="2"/>
  <c r="S36" i="2"/>
  <c r="S35" i="2"/>
  <c r="S34" i="2"/>
  <c r="W42" i="2"/>
  <c r="W43" i="2"/>
  <c r="W41" i="2"/>
  <c r="S33" i="2"/>
  <c r="S30" i="2"/>
  <c r="S29" i="2"/>
  <c r="S28" i="2"/>
  <c r="S27" i="2"/>
  <c r="S26" i="2"/>
  <c r="S25" i="2"/>
  <c r="W33" i="2"/>
  <c r="W29" i="2"/>
  <c r="W32" i="2"/>
  <c r="W38" i="2"/>
  <c r="W37" i="2"/>
  <c r="C15" i="2"/>
  <c r="H16" i="2"/>
  <c r="I17" i="2" s="1"/>
  <c r="W25" i="2"/>
  <c r="W24" i="2"/>
  <c r="W23" i="2"/>
  <c r="W22" i="2"/>
  <c r="AA29" i="2"/>
  <c r="W21" i="2"/>
  <c r="W20" i="2"/>
  <c r="AA28" i="2"/>
  <c r="AA20" i="2"/>
  <c r="AA25" i="2"/>
  <c r="H12" i="2"/>
  <c r="I13" i="2" s="1"/>
  <c r="M18" i="2"/>
  <c r="N19" i="2" s="1"/>
  <c r="N15" i="2"/>
  <c r="W17" i="2"/>
  <c r="W16" i="2"/>
  <c r="W15" i="2"/>
  <c r="W14" i="2"/>
  <c r="W12" i="2"/>
  <c r="AA22" i="2"/>
  <c r="AA21" i="2"/>
  <c r="H8" i="2"/>
  <c r="I9" i="2" s="1"/>
  <c r="N12" i="2"/>
  <c r="AA14" i="2"/>
  <c r="AA13" i="2"/>
  <c r="AA12" i="2"/>
  <c r="AA10" i="2"/>
  <c r="AA9" i="2"/>
  <c r="S22" i="2"/>
  <c r="S21" i="2"/>
  <c r="S20" i="2"/>
  <c r="S17" i="2"/>
  <c r="M7" i="2"/>
  <c r="N8" i="2" s="1"/>
  <c r="W9" i="2"/>
  <c r="W8" i="2"/>
  <c r="W7" i="2"/>
  <c r="W5" i="2"/>
  <c r="W4" i="2"/>
  <c r="S14" i="2"/>
  <c r="S13" i="2"/>
  <c r="S12" i="2"/>
  <c r="S9" i="2"/>
  <c r="H4" i="2"/>
  <c r="I5" i="2" s="1"/>
  <c r="N4" i="2"/>
  <c r="D4" i="2"/>
  <c r="N15" i="1"/>
  <c r="M7" i="1"/>
  <c r="H4" i="1"/>
  <c r="I5" i="1" s="1"/>
  <c r="H8" i="1"/>
  <c r="I9" i="1" s="1"/>
  <c r="N12" i="1"/>
  <c r="N4" i="1"/>
  <c r="D4" i="1"/>
  <c r="M44" i="3" l="1" a="1"/>
  <c r="M44" i="3" s="1"/>
  <c r="M45" i="3" a="1"/>
  <c r="M45" i="3" s="1"/>
  <c r="M48" i="3" a="1"/>
  <c r="M48" i="3" s="1"/>
  <c r="M50" i="3" a="1"/>
  <c r="M50" i="3" s="1"/>
  <c r="N45" i="3" a="1"/>
  <c r="N45" i="3" s="1"/>
  <c r="N47" i="3" a="1"/>
  <c r="N47" i="3" s="1"/>
  <c r="O47" i="3" s="1"/>
  <c r="N48" i="3" a="1"/>
  <c r="N48" i="3" s="1"/>
  <c r="N50" i="3" a="1"/>
  <c r="N50" i="3" s="1"/>
  <c r="N44" i="3" a="1"/>
  <c r="N44" i="3" s="1"/>
  <c r="E46" i="2"/>
  <c r="M50" i="2" a="1"/>
  <c r="M50" i="2" s="1"/>
  <c r="M48" i="2" a="1"/>
  <c r="M48" i="2" s="1"/>
  <c r="M47" i="2" a="1"/>
  <c r="M47" i="2" s="1"/>
  <c r="M45" i="2" a="1"/>
  <c r="M45" i="2" s="1"/>
  <c r="M44" i="2" a="1"/>
  <c r="M44" i="2" s="1"/>
  <c r="N8" i="1"/>
  <c r="M18" i="1"/>
  <c r="O50" i="3" l="1"/>
  <c r="O45" i="3"/>
  <c r="O44" i="3"/>
  <c r="O48" i="3"/>
  <c r="N19" i="1"/>
  <c r="N50" i="1" s="1" a="1"/>
  <c r="N50" i="1" s="1"/>
  <c r="M50" i="1" a="1"/>
  <c r="M50" i="1" s="1"/>
  <c r="H12" i="1"/>
  <c r="H46" i="3" l="1" a="1"/>
  <c r="H46" i="3" s="1"/>
  <c r="H44" i="3" a="1"/>
  <c r="H44" i="3" s="1"/>
  <c r="N45" i="2" a="1"/>
  <c r="N45" i="2" s="1"/>
  <c r="O45" i="2" s="1"/>
  <c r="N48" i="2" a="1"/>
  <c r="N48" i="2" s="1"/>
  <c r="O48" i="2" s="1"/>
  <c r="N44" i="2" a="1"/>
  <c r="N44" i="2" s="1"/>
  <c r="O44" i="2" s="1"/>
  <c r="N50" i="2" a="1"/>
  <c r="N50" i="2" s="1"/>
  <c r="O50" i="2" s="1"/>
  <c r="N47" i="2" a="1"/>
  <c r="N47" i="2" s="1"/>
  <c r="O47" i="2" s="1"/>
  <c r="C44" i="2" a="1"/>
  <c r="C44" i="2" s="1"/>
  <c r="C47" i="2" a="1"/>
  <c r="C47" i="2" s="1"/>
  <c r="C48" i="2" a="1"/>
  <c r="C48" i="2" s="1"/>
  <c r="C50" i="2" a="1"/>
  <c r="C50" i="2" s="1"/>
  <c r="H16" i="1"/>
  <c r="I13" i="1"/>
  <c r="O50" i="1"/>
  <c r="M47" i="1" a="1"/>
  <c r="M47" i="1" s="1"/>
  <c r="M44" i="1" a="1"/>
  <c r="M44" i="1" s="1"/>
  <c r="M45" i="1" a="1"/>
  <c r="M45" i="1" s="1"/>
  <c r="M48" i="1" a="1"/>
  <c r="M48" i="1" s="1"/>
  <c r="I46" i="3" l="1" a="1"/>
  <c r="I46" i="3" s="1"/>
  <c r="J46" i="3" s="1"/>
  <c r="I44" i="3" a="1"/>
  <c r="I44" i="3" s="1"/>
  <c r="J44" i="3" s="1"/>
  <c r="C44" i="3" a="1"/>
  <c r="C44" i="3" s="1"/>
  <c r="C47" i="3" a="1"/>
  <c r="C47" i="3" s="1"/>
  <c r="C49" i="3" a="1"/>
  <c r="C49" i="3" s="1"/>
  <c r="C46" i="3" a="1"/>
  <c r="C46" i="3" s="1"/>
  <c r="H46" i="2" a="1"/>
  <c r="H46" i="2" s="1"/>
  <c r="H44" i="2" a="1"/>
  <c r="H44" i="2" s="1"/>
  <c r="D44" i="2" a="1"/>
  <c r="D44" i="2" s="1"/>
  <c r="E44" i="2" s="1"/>
  <c r="D47" i="2" a="1"/>
  <c r="D47" i="2" s="1"/>
  <c r="E47" i="2" s="1"/>
  <c r="D48" i="2" a="1"/>
  <c r="D48" i="2" s="1"/>
  <c r="E48" i="2" s="1"/>
  <c r="D50" i="2" a="1"/>
  <c r="D50" i="2" s="1"/>
  <c r="E50" i="2" s="1"/>
  <c r="C15" i="1"/>
  <c r="D16" i="1" s="1"/>
  <c r="I17" i="1"/>
  <c r="N47" i="1" a="1"/>
  <c r="N47" i="1" s="1"/>
  <c r="O47" i="1" s="1"/>
  <c r="N44" i="1" a="1"/>
  <c r="N44" i="1" s="1"/>
  <c r="O44" i="1" s="1"/>
  <c r="N48" i="1" a="1"/>
  <c r="N48" i="1" s="1"/>
  <c r="O48" i="1" s="1"/>
  <c r="N45" i="1" a="1"/>
  <c r="N45" i="1" s="1"/>
  <c r="O45" i="1" s="1"/>
  <c r="D44" i="3" l="1" a="1"/>
  <c r="D44" i="3" s="1"/>
  <c r="E44" i="3" s="1"/>
  <c r="D49" i="3" a="1"/>
  <c r="D49" i="3" s="1"/>
  <c r="E49" i="3" s="1"/>
  <c r="D47" i="3" a="1"/>
  <c r="D47" i="3" s="1"/>
  <c r="E47" i="3" s="1"/>
  <c r="D46" i="3" a="1"/>
  <c r="D46" i="3" s="1"/>
  <c r="E46" i="3" s="1"/>
  <c r="I44" i="2" a="1"/>
  <c r="I44" i="2" s="1"/>
  <c r="J44" i="2" s="1"/>
  <c r="I46" i="2" a="1"/>
  <c r="I46" i="2" s="1"/>
  <c r="J46" i="2" s="1"/>
  <c r="H44" i="1" a="1"/>
  <c r="H44" i="1" s="1"/>
  <c r="H46" i="1" a="1"/>
  <c r="H46" i="1" s="1"/>
  <c r="C46" i="1" l="1" a="1"/>
  <c r="C46" i="1" s="1"/>
  <c r="C49" i="1" a="1"/>
  <c r="C49" i="1" s="1"/>
  <c r="C44" i="1" a="1"/>
  <c r="C44" i="1" s="1"/>
  <c r="C47" i="1" a="1"/>
  <c r="C47" i="1" s="1"/>
  <c r="I44" i="1" a="1"/>
  <c r="I44" i="1" s="1"/>
  <c r="J44" i="1" s="1"/>
  <c r="I46" i="1" a="1"/>
  <c r="I46" i="1" s="1"/>
  <c r="J46" i="1" s="1"/>
  <c r="D44" i="1" l="1" a="1"/>
  <c r="D44" i="1" s="1"/>
  <c r="E44" i="1" s="1"/>
  <c r="D47" i="1" a="1"/>
  <c r="D47" i="1" s="1"/>
  <c r="E47" i="1" s="1"/>
  <c r="D49" i="1" a="1"/>
  <c r="D49" i="1" s="1"/>
  <c r="E49" i="1" s="1"/>
  <c r="D46" i="1" a="1"/>
  <c r="D46" i="1" s="1"/>
  <c r="E4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<sst xmlns="http://schemas.openxmlformats.org/spreadsheetml/2006/main" count="284" uniqueCount="49">
  <si>
    <t>Cash</t>
  </si>
  <si>
    <t>CAD</t>
  </si>
  <si>
    <t>Joint Transaction #1</t>
  </si>
  <si>
    <t>USD</t>
  </si>
  <si>
    <t>Food Expense</t>
  </si>
  <si>
    <t>Entertainment Expense</t>
  </si>
  <si>
    <t>Accounts Receivable - Roddy</t>
  </si>
  <si>
    <t>Capital Gains</t>
  </si>
  <si>
    <t>Origination Clearing</t>
  </si>
  <si>
    <t>Joint Transaction #2</t>
  </si>
  <si>
    <t>Joint Transaction #3</t>
  </si>
  <si>
    <t>Joint Transaction #4</t>
  </si>
  <si>
    <t>Joint Transaction #5</t>
  </si>
  <si>
    <t>MXN</t>
  </si>
  <si>
    <t>Lot A</t>
  </si>
  <si>
    <t>Proceeds</t>
  </si>
  <si>
    <t>Lot A (Modified)</t>
  </si>
  <si>
    <t>Gain</t>
  </si>
  <si>
    <t>Cost Basis</t>
  </si>
  <si>
    <t>Lot B (Modified)</t>
  </si>
  <si>
    <t>Origination</t>
  </si>
  <si>
    <t>JT #1</t>
  </si>
  <si>
    <t>JT #2</t>
  </si>
  <si>
    <t>Lot A - JT #1</t>
  </si>
  <si>
    <t>Lot B - JT #2</t>
  </si>
  <si>
    <t>JT #3</t>
  </si>
  <si>
    <t>Lot B - JT #3</t>
  </si>
  <si>
    <t>JT #4</t>
  </si>
  <si>
    <t>Lot C - JT #4</t>
  </si>
  <si>
    <t>Proportion</t>
  </si>
  <si>
    <t>Capital Gain</t>
  </si>
  <si>
    <t>Capital Loss</t>
  </si>
  <si>
    <t>Joint Transaction #6</t>
  </si>
  <si>
    <t>JT #5 (Lot A)</t>
  </si>
  <si>
    <t>JT #5 (Lot B)</t>
  </si>
  <si>
    <t>JT #6 (Lot B)</t>
  </si>
  <si>
    <t>JT #6 (Lot C)</t>
  </si>
  <si>
    <t>Lot  C - JT #5 (Lot B)</t>
  </si>
  <si>
    <t>Lot B - JT #5 (Lot A)</t>
  </si>
  <si>
    <t>Lot D - JT #6 (Lot B)</t>
  </si>
  <si>
    <t>Lot E - JT #6 (Lot C)</t>
  </si>
  <si>
    <t>CAD-Cash</t>
  </si>
  <si>
    <t>CAD-Origin</t>
  </si>
  <si>
    <t>Inventory</t>
  </si>
  <si>
    <t>Sales Expense</t>
  </si>
  <si>
    <t>GST Expense</t>
  </si>
  <si>
    <t>Oranges</t>
  </si>
  <si>
    <t>GST Collected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</si>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</sst>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4" fontId="0" fillId="0" borderId="0" xfId="1" applyFont="1" applyAlignment="1">
      <alignment vertical="center"/>
    </xf>
    <xf numFmtId="0" fontId="0" fillId="0" borderId="0" xfId="0" applyAlignment="1">
      <alignment vertical="center"/>
    </xf>
    <xf numFmtId="44" fontId="2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9" fontId="0" fillId="0" borderId="0" xfId="2" applyFont="1"/>
    <xf numFmtId="0" fontId="2" fillId="0" borderId="0" xfId="0" applyFont="1" applyAlignment="1">
      <alignment horizontal="center" vertical="center"/>
    </xf>
    <xf numFmtId="44" fontId="0" fillId="0" borderId="0" xfId="0" applyNumberFormat="1"/>
    <xf numFmtId="0" fontId="0" fillId="0" borderId="0" xfId="0" applyFont="1"/>
    <xf numFmtId="43" fontId="0" fillId="0" borderId="0" xfId="3" applyFont="1"/>
    <xf numFmtId="0" fontId="0" fillId="0" borderId="0" xfId="0" applyFont="1" applyAlignment="1">
      <alignment horizontal="left" indent="2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2EEE-B44C-4A7A-826C-10CB76EB17C5}">
  <dimension ref="B2:O53"/>
  <sheetViews>
    <sheetView workbookViewId="0">
      <selection activeCell="G3" sqref="G3:I5"/>
    </sheetView>
  </sheetViews>
  <sheetFormatPr defaultRowHeight="15" x14ac:dyDescent="0.25"/>
  <cols>
    <col min="1" max="1" width="5.5703125" customWidth="1"/>
    <col min="2" max="2" width="35.42578125" customWidth="1"/>
    <col min="3" max="5" width="12" style="1" customWidth="1"/>
    <col min="6" max="6" width="4.28515625" customWidth="1"/>
    <col min="7" max="7" width="35.42578125" customWidth="1"/>
    <col min="8" max="10" width="12" style="1" customWidth="1"/>
    <col min="11" max="11" width="4.28515625" customWidth="1"/>
    <col min="12" max="12" width="35.42578125" customWidth="1"/>
    <col min="13" max="14" width="12" style="1" customWidth="1"/>
    <col min="15" max="15" width="4.42578125" style="1" customWidth="1"/>
  </cols>
  <sheetData>
    <row r="2" spans="2:15" s="7" customFormat="1" ht="31.5" customHeight="1" x14ac:dyDescent="0.25">
      <c r="B2" s="11" t="s">
        <v>1</v>
      </c>
      <c r="C2" s="11"/>
      <c r="D2" s="11"/>
      <c r="E2" s="6"/>
      <c r="G2" s="11" t="s">
        <v>13</v>
      </c>
      <c r="H2" s="11"/>
      <c r="I2" s="11"/>
      <c r="J2" s="8"/>
      <c r="L2" s="11" t="s">
        <v>3</v>
      </c>
      <c r="M2" s="11"/>
      <c r="N2" s="11"/>
      <c r="O2" s="6"/>
    </row>
    <row r="3" spans="2:15" x14ac:dyDescent="0.25">
      <c r="B3" t="s">
        <v>0</v>
      </c>
      <c r="C3" s="1">
        <v>1000</v>
      </c>
      <c r="G3" s="4" t="s">
        <v>2</v>
      </c>
      <c r="L3" t="s">
        <v>6</v>
      </c>
      <c r="M3" s="1">
        <v>200</v>
      </c>
    </row>
    <row r="4" spans="2:15" x14ac:dyDescent="0.25">
      <c r="B4" s="2" t="s">
        <v>8</v>
      </c>
      <c r="D4" s="1">
        <f>C3</f>
        <v>1000</v>
      </c>
      <c r="G4" t="s">
        <v>0</v>
      </c>
      <c r="H4" s="1">
        <f>C7*12</f>
        <v>2400</v>
      </c>
      <c r="L4" s="2" t="s">
        <v>8</v>
      </c>
      <c r="N4" s="1">
        <f>M3</f>
        <v>200</v>
      </c>
    </row>
    <row r="5" spans="2:15" x14ac:dyDescent="0.25">
      <c r="G5" s="2" t="s">
        <v>8</v>
      </c>
      <c r="I5" s="1">
        <f>H4</f>
        <v>2400</v>
      </c>
    </row>
    <row r="6" spans="2:15" x14ac:dyDescent="0.25">
      <c r="B6" s="4" t="s">
        <v>2</v>
      </c>
      <c r="G6" s="3"/>
      <c r="L6" s="4" t="s">
        <v>9</v>
      </c>
    </row>
    <row r="7" spans="2:15" x14ac:dyDescent="0.25">
      <c r="B7" t="s">
        <v>8</v>
      </c>
      <c r="C7" s="1">
        <v>200</v>
      </c>
      <c r="G7" s="4" t="s">
        <v>10</v>
      </c>
      <c r="L7" s="3" t="s">
        <v>0</v>
      </c>
      <c r="M7" s="1">
        <f>C11*0.75</f>
        <v>450</v>
      </c>
    </row>
    <row r="8" spans="2:15" x14ac:dyDescent="0.25">
      <c r="B8" s="2" t="s">
        <v>0</v>
      </c>
      <c r="D8" s="1">
        <v>200</v>
      </c>
      <c r="G8" s="3" t="s">
        <v>0</v>
      </c>
      <c r="H8" s="1">
        <f>M11*18</f>
        <v>3600</v>
      </c>
      <c r="L8" s="2" t="s">
        <v>8</v>
      </c>
      <c r="N8" s="1">
        <f>M7</f>
        <v>450</v>
      </c>
    </row>
    <row r="9" spans="2:15" x14ac:dyDescent="0.25">
      <c r="B9" s="3"/>
      <c r="G9" s="2" t="s">
        <v>8</v>
      </c>
      <c r="I9" s="1">
        <f>H8</f>
        <v>3600</v>
      </c>
      <c r="L9" s="3"/>
    </row>
    <row r="10" spans="2:15" x14ac:dyDescent="0.25">
      <c r="B10" s="4" t="s">
        <v>9</v>
      </c>
      <c r="G10" s="3"/>
      <c r="L10" s="4" t="s">
        <v>10</v>
      </c>
    </row>
    <row r="11" spans="2:15" x14ac:dyDescent="0.25">
      <c r="B11" t="s">
        <v>8</v>
      </c>
      <c r="C11" s="1">
        <v>600</v>
      </c>
      <c r="G11" s="5" t="s">
        <v>11</v>
      </c>
      <c r="L11" s="3" t="s">
        <v>8</v>
      </c>
      <c r="M11" s="1">
        <v>200</v>
      </c>
    </row>
    <row r="12" spans="2:15" x14ac:dyDescent="0.25">
      <c r="B12" s="2" t="s">
        <v>0</v>
      </c>
      <c r="D12" s="1">
        <v>600</v>
      </c>
      <c r="G12" t="s">
        <v>0</v>
      </c>
      <c r="H12" s="1">
        <f>M18*17</f>
        <v>3825</v>
      </c>
      <c r="L12" s="2" t="s">
        <v>0</v>
      </c>
      <c r="N12" s="1">
        <f>M11</f>
        <v>200</v>
      </c>
    </row>
    <row r="13" spans="2:15" x14ac:dyDescent="0.25">
      <c r="G13" s="2" t="s">
        <v>8</v>
      </c>
      <c r="I13" s="1">
        <f>H12</f>
        <v>3825</v>
      </c>
    </row>
    <row r="14" spans="2:15" x14ac:dyDescent="0.25">
      <c r="B14" s="4" t="s">
        <v>12</v>
      </c>
      <c r="L14" s="3" t="s">
        <v>0</v>
      </c>
      <c r="M14" s="1">
        <v>200</v>
      </c>
    </row>
    <row r="15" spans="2:15" x14ac:dyDescent="0.25">
      <c r="B15" t="s">
        <v>0</v>
      </c>
      <c r="C15" s="1">
        <f>H16/13</f>
        <v>251.9230517307692</v>
      </c>
      <c r="G15" s="4" t="s">
        <v>12</v>
      </c>
      <c r="L15" s="2" t="s">
        <v>6</v>
      </c>
      <c r="N15" s="1">
        <f>M14</f>
        <v>200</v>
      </c>
    </row>
    <row r="16" spans="2:15" x14ac:dyDescent="0.25">
      <c r="B16" s="2" t="s">
        <v>8</v>
      </c>
      <c r="D16" s="1">
        <f>C15</f>
        <v>251.9230517307692</v>
      </c>
      <c r="G16" t="s">
        <v>8</v>
      </c>
      <c r="H16" s="1">
        <f>(H4+H8+H12)*33.33333%</f>
        <v>3274.9996724999996</v>
      </c>
    </row>
    <row r="17" spans="2:14" x14ac:dyDescent="0.25">
      <c r="B17" s="2"/>
      <c r="G17" s="2" t="s">
        <v>0</v>
      </c>
      <c r="I17" s="1">
        <f>H16</f>
        <v>3274.9996724999996</v>
      </c>
      <c r="L17" s="4" t="s">
        <v>11</v>
      </c>
    </row>
    <row r="18" spans="2:14" x14ac:dyDescent="0.25">
      <c r="L18" t="s">
        <v>8</v>
      </c>
      <c r="M18" s="1">
        <f>(M7-N12+M14)*50%</f>
        <v>225</v>
      </c>
    </row>
    <row r="19" spans="2:14" x14ac:dyDescent="0.25">
      <c r="G19" s="2"/>
      <c r="L19" s="2" t="s">
        <v>0</v>
      </c>
      <c r="N19" s="1">
        <f>M18</f>
        <v>225</v>
      </c>
    </row>
    <row r="21" spans="2:14" x14ac:dyDescent="0.25">
      <c r="B21" s="2"/>
      <c r="L21" s="2"/>
    </row>
    <row r="22" spans="2:14" x14ac:dyDescent="0.25">
      <c r="B22" s="3"/>
      <c r="L22" s="3"/>
    </row>
    <row r="23" spans="2:14" x14ac:dyDescent="0.25">
      <c r="L23" s="2"/>
    </row>
    <row r="24" spans="2:14" x14ac:dyDescent="0.25">
      <c r="B24" s="2"/>
    </row>
    <row r="28" spans="2:14" x14ac:dyDescent="0.25">
      <c r="B28" s="2"/>
    </row>
    <row r="29" spans="2:14" x14ac:dyDescent="0.25">
      <c r="B29" s="2"/>
    </row>
    <row r="38" spans="2:15" x14ac:dyDescent="0.25">
      <c r="B38" s="3"/>
    </row>
    <row r="39" spans="2:15" x14ac:dyDescent="0.25">
      <c r="B39" s="2"/>
    </row>
    <row r="44" spans="2:15" x14ac:dyDescent="0.25">
      <c r="B44" t="s">
        <v>0</v>
      </c>
      <c r="C44" s="1" cm="1">
        <f t="array" ref="C44">SUMPRODUCT(--(B$3:B$38=B44),C$3:C$38)</f>
        <v>1251.9230517307692</v>
      </c>
      <c r="D44" s="1" cm="1">
        <f t="array" ref="D44">SUMPRODUCT(--(B$3:B$38=B44),D$3:D$38)</f>
        <v>800</v>
      </c>
      <c r="E44" s="1">
        <f>C44-D44</f>
        <v>451.9230517307692</v>
      </c>
      <c r="G44" t="s">
        <v>0</v>
      </c>
      <c r="H44" s="1" cm="1">
        <f t="array" ref="H44">SUMPRODUCT(--(G$4:G$39=G44),H$4:H$39)</f>
        <v>9825</v>
      </c>
      <c r="I44" s="1" cm="1">
        <f t="array" ref="I44">SUMPRODUCT(--(G$4:G$39=G44),I$4:I$39)</f>
        <v>3274.9996724999996</v>
      </c>
      <c r="J44" s="1">
        <f>H44-I44</f>
        <v>6550.0003274999999</v>
      </c>
      <c r="L44" t="s">
        <v>0</v>
      </c>
      <c r="M44" s="1" cm="1">
        <f t="array" ref="M44">SUMPRODUCT(--(L$3:L$39=L44),M$3:M$39)</f>
        <v>650</v>
      </c>
      <c r="N44" s="1" cm="1">
        <f t="array" ref="N44">SUMPRODUCT(--(L$3:L$39=L44),N$3:N$39)</f>
        <v>425</v>
      </c>
      <c r="O44" s="1">
        <f>M44-N44</f>
        <v>225</v>
      </c>
    </row>
    <row r="45" spans="2:15" x14ac:dyDescent="0.25">
      <c r="L45" t="s">
        <v>6</v>
      </c>
      <c r="M45" s="1" cm="1">
        <f t="array" ref="M45">SUMPRODUCT(--(L$3:L$39=L45),M$3:M$39)</f>
        <v>200</v>
      </c>
      <c r="N45" s="1" cm="1">
        <f t="array" ref="N45">SUMPRODUCT(--(L$3:L$39=L45),N$3:N$39)</f>
        <v>200</v>
      </c>
      <c r="O45" s="1">
        <f>M45-N45</f>
        <v>0</v>
      </c>
    </row>
    <row r="46" spans="2:15" x14ac:dyDescent="0.25">
      <c r="B46" t="s">
        <v>7</v>
      </c>
      <c r="C46" s="1" cm="1">
        <f t="array" ref="C46">SUMPRODUCT(--(B$3:B$38=B46),C$3:C$38)</f>
        <v>0</v>
      </c>
      <c r="D46" s="1" cm="1">
        <f t="array" ref="D46">SUMPRODUCT(--(B$3:B$38=B46),D$3:D$38)</f>
        <v>0</v>
      </c>
      <c r="E46" s="1">
        <f>C46-D46</f>
        <v>0</v>
      </c>
      <c r="G46" s="3" t="s">
        <v>8</v>
      </c>
      <c r="H46" s="1" cm="1">
        <f t="array" ref="H46">SUMPRODUCT(--(G$4:G$39=G46),H$4:H$39)</f>
        <v>3274.9996724999996</v>
      </c>
      <c r="I46" s="1" cm="1">
        <f t="array" ref="I46">SUMPRODUCT(--(G$4:G$39=G46),I$4:I$39)</f>
        <v>9825</v>
      </c>
      <c r="J46" s="1">
        <f>H46-I46</f>
        <v>-6550.0003274999999</v>
      </c>
    </row>
    <row r="47" spans="2:15" x14ac:dyDescent="0.25">
      <c r="B47" t="s">
        <v>4</v>
      </c>
      <c r="C47" s="1" cm="1">
        <f t="array" ref="C47">SUMPRODUCT(--(B$3:B$38=B47),C$3:C$38)</f>
        <v>0</v>
      </c>
      <c r="D47" s="1" cm="1">
        <f t="array" ref="D47">SUMPRODUCT(--(B$3:B$38=B47),D$3:D$38)</f>
        <v>0</v>
      </c>
      <c r="E47" s="1">
        <f>C47-D47</f>
        <v>0</v>
      </c>
      <c r="G47" s="3"/>
      <c r="L47" t="s">
        <v>4</v>
      </c>
      <c r="M47" s="1" cm="1">
        <f t="array" ref="M47">SUMPRODUCT(--(L$3:L$39=L47),M$3:M$39)</f>
        <v>0</v>
      </c>
      <c r="N47" s="1" cm="1">
        <f t="array" ref="N47">SUMPRODUCT(--(L$3:L$39=L47),N$3:N$39)</f>
        <v>0</v>
      </c>
      <c r="O47" s="1">
        <f>M47-N47</f>
        <v>0</v>
      </c>
    </row>
    <row r="48" spans="2:15" x14ac:dyDescent="0.25">
      <c r="G48" s="3"/>
      <c r="L48" t="s">
        <v>5</v>
      </c>
      <c r="M48" s="1" cm="1">
        <f t="array" ref="M48">SUMPRODUCT(--(L$3:L$39=L48),M$3:M$39)</f>
        <v>0</v>
      </c>
      <c r="N48" s="1" cm="1">
        <f t="array" ref="N48">SUMPRODUCT(--(L$3:L$39=L48),N$3:N$39)</f>
        <v>0</v>
      </c>
      <c r="O48" s="1">
        <f>M48-N48</f>
        <v>0</v>
      </c>
    </row>
    <row r="49" spans="2:15" x14ac:dyDescent="0.25">
      <c r="B49" t="s">
        <v>8</v>
      </c>
      <c r="C49" s="1" cm="1">
        <f t="array" ref="C49">SUMPRODUCT(--(B$3:B$38=B49),C$3:C$38)</f>
        <v>800</v>
      </c>
      <c r="D49" s="1" cm="1">
        <f t="array" ref="D49">SUMPRODUCT(--(B$3:B$38=B49),D$3:D$38)</f>
        <v>1251.9230517307692</v>
      </c>
      <c r="E49" s="1">
        <f>C49-D49</f>
        <v>-451.9230517307692</v>
      </c>
      <c r="G49" s="3"/>
      <c r="L49" s="3"/>
    </row>
    <row r="50" spans="2:15" x14ac:dyDescent="0.25">
      <c r="L50" t="s">
        <v>8</v>
      </c>
      <c r="M50" s="1" cm="1">
        <f t="array" ref="M50">SUMPRODUCT(--(L$3:L$39=L50),M$3:M$39)</f>
        <v>425</v>
      </c>
      <c r="N50" s="1" cm="1">
        <f t="array" ref="N50">SUMPRODUCT(--(L$3:L$39=L50),N$3:N$39)</f>
        <v>650</v>
      </c>
      <c r="O50" s="1">
        <f>M50-N50</f>
        <v>-225</v>
      </c>
    </row>
    <row r="53" spans="2:15" x14ac:dyDescent="0.25">
      <c r="G53" s="3"/>
    </row>
  </sheetData>
  <mergeCells count="3">
    <mergeCell ref="B2:D2"/>
    <mergeCell ref="G2:I2"/>
    <mergeCell ref="L2:N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2F00-5084-40E5-BA0D-E89E488E8994}">
  <dimension ref="B2:AA56"/>
  <sheetViews>
    <sheetView workbookViewId="0">
      <selection activeCell="AA5" sqref="AA5"/>
    </sheetView>
  </sheetViews>
  <sheetFormatPr defaultRowHeight="15" x14ac:dyDescent="0.25"/>
  <cols>
    <col min="1" max="1" width="5.5703125" customWidth="1"/>
    <col min="2" max="2" width="35.42578125" customWidth="1"/>
    <col min="3" max="5" width="12" style="1" customWidth="1"/>
    <col min="6" max="6" width="4.28515625" customWidth="1"/>
    <col min="7" max="7" width="35.42578125" customWidth="1"/>
    <col min="8" max="10" width="12" style="1" customWidth="1"/>
    <col min="11" max="11" width="4.28515625" customWidth="1"/>
    <col min="12" max="12" width="35.42578125" customWidth="1"/>
    <col min="13" max="14" width="12" style="1" customWidth="1"/>
    <col min="15" max="15" width="4.42578125" style="1" customWidth="1"/>
    <col min="16" max="16" width="9.140625" customWidth="1"/>
    <col min="17" max="17" width="3.42578125" customWidth="1"/>
    <col min="18" max="18" width="11.5703125" customWidth="1"/>
    <col min="19" max="19" width="11.85546875" style="1" customWidth="1"/>
    <col min="21" max="21" width="3.42578125" customWidth="1"/>
    <col min="22" max="22" width="11.5703125" customWidth="1"/>
    <col min="23" max="23" width="11.85546875" style="1" customWidth="1"/>
    <col min="25" max="25" width="3.42578125" customWidth="1"/>
    <col min="26" max="26" width="11.5703125" customWidth="1"/>
    <col min="27" max="27" width="11.85546875" style="1" customWidth="1"/>
  </cols>
  <sheetData>
    <row r="2" spans="2:27" s="7" customFormat="1" ht="31.5" customHeight="1" x14ac:dyDescent="0.25">
      <c r="B2" s="11" t="s">
        <v>1</v>
      </c>
      <c r="C2" s="11"/>
      <c r="D2" s="11"/>
      <c r="E2" s="6"/>
      <c r="G2" s="11" t="s">
        <v>13</v>
      </c>
      <c r="H2" s="11"/>
      <c r="I2" s="11"/>
      <c r="J2" s="8"/>
      <c r="L2" s="11" t="s">
        <v>3</v>
      </c>
      <c r="M2" s="11"/>
      <c r="N2" s="11"/>
      <c r="O2" s="6"/>
      <c r="Q2" s="9" t="s">
        <v>1</v>
      </c>
      <c r="S2" s="6"/>
      <c r="U2" s="9" t="s">
        <v>13</v>
      </c>
      <c r="W2" s="6"/>
      <c r="Y2" s="9" t="s">
        <v>3</v>
      </c>
      <c r="AA2" s="6"/>
    </row>
    <row r="3" spans="2:27" x14ac:dyDescent="0.25">
      <c r="B3" t="s">
        <v>0</v>
      </c>
      <c r="C3" s="1">
        <v>1000</v>
      </c>
      <c r="G3" s="4" t="s">
        <v>2</v>
      </c>
      <c r="L3" t="s">
        <v>6</v>
      </c>
      <c r="M3" s="1">
        <v>200</v>
      </c>
      <c r="Q3" t="s">
        <v>14</v>
      </c>
      <c r="U3" t="s">
        <v>23</v>
      </c>
      <c r="Y3" t="s">
        <v>14</v>
      </c>
    </row>
    <row r="4" spans="2:27" x14ac:dyDescent="0.25">
      <c r="B4" s="2" t="s">
        <v>8</v>
      </c>
      <c r="D4" s="1">
        <f>C3</f>
        <v>1000</v>
      </c>
      <c r="G4" t="s">
        <v>0</v>
      </c>
      <c r="H4" s="1">
        <f>C7*12</f>
        <v>2400</v>
      </c>
      <c r="L4" s="2" t="s">
        <v>8</v>
      </c>
      <c r="N4" s="1">
        <f>M3</f>
        <v>200</v>
      </c>
      <c r="R4" t="s">
        <v>20</v>
      </c>
      <c r="S4" s="1">
        <v>1000</v>
      </c>
      <c r="V4" t="s">
        <v>20</v>
      </c>
      <c r="W4" s="1">
        <f>H4</f>
        <v>2400</v>
      </c>
      <c r="Z4" t="s">
        <v>20</v>
      </c>
      <c r="AA4" s="1">
        <v>200</v>
      </c>
    </row>
    <row r="5" spans="2:27" x14ac:dyDescent="0.25">
      <c r="G5" s="2" t="s">
        <v>8</v>
      </c>
      <c r="I5" s="1">
        <f>H4</f>
        <v>2400</v>
      </c>
      <c r="R5" t="s">
        <v>3</v>
      </c>
      <c r="S5" s="1" t="s">
        <v>15</v>
      </c>
      <c r="V5" t="s">
        <v>1</v>
      </c>
      <c r="W5" s="1">
        <f>-S9</f>
        <v>200</v>
      </c>
      <c r="Z5" t="s">
        <v>1</v>
      </c>
    </row>
    <row r="6" spans="2:27" x14ac:dyDescent="0.25">
      <c r="B6" s="4" t="s">
        <v>2</v>
      </c>
      <c r="G6" s="3"/>
      <c r="L6" s="4" t="s">
        <v>9</v>
      </c>
      <c r="R6" t="s">
        <v>13</v>
      </c>
      <c r="S6" s="1" t="s">
        <v>15</v>
      </c>
      <c r="V6" t="s">
        <v>3</v>
      </c>
      <c r="W6" s="1" t="s">
        <v>15</v>
      </c>
      <c r="Z6" t="s">
        <v>13</v>
      </c>
      <c r="AA6" s="1" t="s">
        <v>15</v>
      </c>
    </row>
    <row r="7" spans="2:27" x14ac:dyDescent="0.25">
      <c r="B7" t="s">
        <v>8</v>
      </c>
      <c r="C7" s="1">
        <v>200</v>
      </c>
      <c r="G7" s="4" t="s">
        <v>10</v>
      </c>
      <c r="L7" s="3" t="s">
        <v>0</v>
      </c>
      <c r="M7" s="1">
        <f>C11*0.75</f>
        <v>450</v>
      </c>
      <c r="V7" t="s">
        <v>15</v>
      </c>
      <c r="W7" s="1">
        <f>W4</f>
        <v>2400</v>
      </c>
    </row>
    <row r="8" spans="2:27" x14ac:dyDescent="0.25">
      <c r="B8" s="2" t="s">
        <v>0</v>
      </c>
      <c r="D8" s="1">
        <v>200</v>
      </c>
      <c r="G8" s="3" t="s">
        <v>0</v>
      </c>
      <c r="H8" s="1">
        <f>M11*18</f>
        <v>3600</v>
      </c>
      <c r="L8" s="2" t="s">
        <v>8</v>
      </c>
      <c r="N8" s="1">
        <f>M7</f>
        <v>450</v>
      </c>
      <c r="Q8" t="s">
        <v>21</v>
      </c>
      <c r="V8" t="s">
        <v>18</v>
      </c>
      <c r="W8" s="1">
        <f>W7</f>
        <v>2400</v>
      </c>
      <c r="Y8" t="s">
        <v>24</v>
      </c>
    </row>
    <row r="9" spans="2:27" x14ac:dyDescent="0.25">
      <c r="B9" s="3"/>
      <c r="G9" s="2" t="s">
        <v>8</v>
      </c>
      <c r="I9" s="1">
        <f>H8</f>
        <v>3600</v>
      </c>
      <c r="L9" s="3"/>
      <c r="R9" t="s">
        <v>20</v>
      </c>
      <c r="S9" s="1">
        <f>-C7</f>
        <v>-200</v>
      </c>
      <c r="V9" t="s">
        <v>17</v>
      </c>
      <c r="W9" s="1">
        <f>W7-W8</f>
        <v>0</v>
      </c>
      <c r="Z9" t="s">
        <v>20</v>
      </c>
      <c r="AA9" s="1">
        <f>M7</f>
        <v>450</v>
      </c>
    </row>
    <row r="10" spans="2:27" x14ac:dyDescent="0.25">
      <c r="B10" s="4" t="s">
        <v>9</v>
      </c>
      <c r="G10" s="3"/>
      <c r="L10" s="4" t="s">
        <v>10</v>
      </c>
      <c r="Z10" t="s">
        <v>1</v>
      </c>
      <c r="AA10" s="1">
        <f>-S17</f>
        <v>600</v>
      </c>
    </row>
    <row r="11" spans="2:27" x14ac:dyDescent="0.25">
      <c r="B11" t="s">
        <v>8</v>
      </c>
      <c r="C11" s="1">
        <v>600</v>
      </c>
      <c r="G11" s="5" t="s">
        <v>11</v>
      </c>
      <c r="L11" s="3" t="s">
        <v>8</v>
      </c>
      <c r="M11" s="1">
        <v>200</v>
      </c>
      <c r="Q11" t="s">
        <v>16</v>
      </c>
      <c r="U11" t="s">
        <v>26</v>
      </c>
      <c r="Z11" t="s">
        <v>13</v>
      </c>
      <c r="AA11" s="1" t="s">
        <v>15</v>
      </c>
    </row>
    <row r="12" spans="2:27" x14ac:dyDescent="0.25">
      <c r="B12" s="2" t="s">
        <v>0</v>
      </c>
      <c r="D12" s="1">
        <v>600</v>
      </c>
      <c r="G12" t="s">
        <v>0</v>
      </c>
      <c r="H12" s="1">
        <f>M18*17</f>
        <v>3825</v>
      </c>
      <c r="L12" s="2" t="s">
        <v>0</v>
      </c>
      <c r="N12" s="1">
        <f>M11</f>
        <v>200</v>
      </c>
      <c r="R12" t="s">
        <v>20</v>
      </c>
      <c r="S12" s="1">
        <f>S4+S9</f>
        <v>800</v>
      </c>
      <c r="V12" t="s">
        <v>20</v>
      </c>
      <c r="W12" s="1">
        <f>H8</f>
        <v>3600</v>
      </c>
      <c r="Z12" t="s">
        <v>15</v>
      </c>
      <c r="AA12" s="1">
        <f>AA9</f>
        <v>450</v>
      </c>
    </row>
    <row r="13" spans="2:27" x14ac:dyDescent="0.25">
      <c r="G13" s="2" t="s">
        <v>8</v>
      </c>
      <c r="I13" s="1">
        <f>H12</f>
        <v>3825</v>
      </c>
      <c r="R13" t="s">
        <v>3</v>
      </c>
      <c r="S13" s="1" t="str">
        <f>S5</f>
        <v>Proceeds</v>
      </c>
      <c r="V13" t="s">
        <v>1</v>
      </c>
      <c r="W13" s="1" t="s">
        <v>15</v>
      </c>
      <c r="Z13" t="s">
        <v>18</v>
      </c>
      <c r="AA13" s="1">
        <f>AA9</f>
        <v>450</v>
      </c>
    </row>
    <row r="14" spans="2:27" x14ac:dyDescent="0.25">
      <c r="B14" s="4" t="s">
        <v>12</v>
      </c>
      <c r="L14" s="3" t="s">
        <v>0</v>
      </c>
      <c r="M14" s="1">
        <v>200</v>
      </c>
      <c r="R14" t="s">
        <v>13</v>
      </c>
      <c r="S14" s="1" t="str">
        <f>S6</f>
        <v>Proceeds</v>
      </c>
      <c r="V14" t="s">
        <v>3</v>
      </c>
      <c r="W14" s="1">
        <f>-AA17</f>
        <v>200</v>
      </c>
      <c r="Z14" t="s">
        <v>17</v>
      </c>
      <c r="AA14" s="1">
        <f>AA12-AA13</f>
        <v>0</v>
      </c>
    </row>
    <row r="15" spans="2:27" x14ac:dyDescent="0.25">
      <c r="B15" t="s">
        <v>0</v>
      </c>
      <c r="C15" s="1">
        <f>H16/13</f>
        <v>251.9230517307692</v>
      </c>
      <c r="G15" s="4" t="s">
        <v>12</v>
      </c>
      <c r="L15" s="2" t="s">
        <v>6</v>
      </c>
      <c r="N15" s="1">
        <f>M14</f>
        <v>200</v>
      </c>
      <c r="V15" t="s">
        <v>15</v>
      </c>
      <c r="W15" s="1">
        <f>W12</f>
        <v>3600</v>
      </c>
    </row>
    <row r="16" spans="2:27" x14ac:dyDescent="0.25">
      <c r="B16" t="s">
        <v>31</v>
      </c>
      <c r="C16" s="1">
        <f>-S30</f>
        <v>15.384615384615387</v>
      </c>
      <c r="G16" t="s">
        <v>8</v>
      </c>
      <c r="H16" s="1">
        <f>(H4+H8+H12)*33.33333%</f>
        <v>3274.9996724999996</v>
      </c>
      <c r="Q16" t="s">
        <v>22</v>
      </c>
      <c r="V16" t="s">
        <v>18</v>
      </c>
      <c r="W16" s="1">
        <f>W15</f>
        <v>3600</v>
      </c>
      <c r="Y16" t="s">
        <v>25</v>
      </c>
    </row>
    <row r="17" spans="2:27" x14ac:dyDescent="0.25">
      <c r="B17" s="2" t="s">
        <v>8</v>
      </c>
      <c r="D17" s="1">
        <f>SUM(C15:C16)</f>
        <v>267.30766711538456</v>
      </c>
      <c r="G17" s="2" t="s">
        <v>0</v>
      </c>
      <c r="I17" s="1">
        <f>H16</f>
        <v>3274.9996724999996</v>
      </c>
      <c r="L17" s="4" t="s">
        <v>11</v>
      </c>
      <c r="R17" t="s">
        <v>20</v>
      </c>
      <c r="S17" s="1">
        <f>-C11</f>
        <v>-600</v>
      </c>
      <c r="V17" t="s">
        <v>17</v>
      </c>
      <c r="W17" s="1">
        <f>W15-W16</f>
        <v>0</v>
      </c>
      <c r="Z17" t="s">
        <v>20</v>
      </c>
      <c r="AA17" s="1">
        <v>-200</v>
      </c>
    </row>
    <row r="18" spans="2:27" x14ac:dyDescent="0.25">
      <c r="L18" t="s">
        <v>8</v>
      </c>
      <c r="M18" s="1">
        <f>(M7-N12+M14)*50%</f>
        <v>225</v>
      </c>
    </row>
    <row r="19" spans="2:27" x14ac:dyDescent="0.25">
      <c r="B19" s="5" t="s">
        <v>32</v>
      </c>
      <c r="G19" s="5" t="s">
        <v>32</v>
      </c>
      <c r="L19" s="2" t="s">
        <v>0</v>
      </c>
      <c r="N19" s="1">
        <f>M18</f>
        <v>225</v>
      </c>
      <c r="Q19" t="s">
        <v>16</v>
      </c>
      <c r="U19" t="s">
        <v>28</v>
      </c>
      <c r="Y19" t="s">
        <v>16</v>
      </c>
    </row>
    <row r="20" spans="2:27" x14ac:dyDescent="0.25">
      <c r="B20" t="s">
        <v>0</v>
      </c>
      <c r="C20" s="1">
        <f>H20/12.5</f>
        <v>524.00002619999998</v>
      </c>
      <c r="G20" t="s">
        <v>8</v>
      </c>
      <c r="H20" s="1">
        <f>I21</f>
        <v>6550.0003274999999</v>
      </c>
      <c r="R20" t="s">
        <v>20</v>
      </c>
      <c r="S20" s="1">
        <f>S12+S17</f>
        <v>200</v>
      </c>
      <c r="V20" t="s">
        <v>20</v>
      </c>
      <c r="W20" s="1">
        <f>H12</f>
        <v>3825</v>
      </c>
      <c r="Z20" t="s">
        <v>20</v>
      </c>
      <c r="AA20" s="1">
        <f>AA4+AA17</f>
        <v>0</v>
      </c>
    </row>
    <row r="21" spans="2:27" x14ac:dyDescent="0.25">
      <c r="B21" s="2" t="s">
        <v>30</v>
      </c>
      <c r="D21" s="1">
        <f>S54</f>
        <v>6</v>
      </c>
      <c r="G21" s="2" t="s">
        <v>0</v>
      </c>
      <c r="I21" s="1">
        <f>H4+H8+H12-I17</f>
        <v>6550.0003274999999</v>
      </c>
      <c r="L21" s="4"/>
      <c r="R21" t="s">
        <v>3</v>
      </c>
      <c r="S21" s="1" t="str">
        <f>S13</f>
        <v>Proceeds</v>
      </c>
      <c r="V21" t="s">
        <v>1</v>
      </c>
      <c r="W21" s="1">
        <f>AA29</f>
        <v>300</v>
      </c>
      <c r="Z21" t="s">
        <v>1</v>
      </c>
      <c r="AA21" s="1">
        <f>AA5</f>
        <v>0</v>
      </c>
    </row>
    <row r="22" spans="2:27" x14ac:dyDescent="0.25">
      <c r="B22" s="2" t="s">
        <v>8</v>
      </c>
      <c r="D22" s="1">
        <f>C20-D21</f>
        <v>518.00002619999998</v>
      </c>
      <c r="R22" t="s">
        <v>13</v>
      </c>
      <c r="S22" s="1" t="str">
        <f>S14</f>
        <v>Proceeds</v>
      </c>
      <c r="V22" t="s">
        <v>3</v>
      </c>
      <c r="W22" s="1">
        <f>-AA25</f>
        <v>225</v>
      </c>
      <c r="Z22" t="s">
        <v>13</v>
      </c>
      <c r="AA22" s="1" t="str">
        <f>AA6</f>
        <v>Proceeds</v>
      </c>
    </row>
    <row r="23" spans="2:27" x14ac:dyDescent="0.25">
      <c r="L23" s="2"/>
      <c r="V23" t="s">
        <v>15</v>
      </c>
      <c r="W23" s="1">
        <f>W20</f>
        <v>3825</v>
      </c>
    </row>
    <row r="24" spans="2:27" x14ac:dyDescent="0.25">
      <c r="B24" s="2"/>
      <c r="Q24" t="s">
        <v>38</v>
      </c>
      <c r="V24" t="s">
        <v>18</v>
      </c>
      <c r="W24" s="1">
        <f>W23</f>
        <v>3825</v>
      </c>
      <c r="Y24" t="s">
        <v>27</v>
      </c>
    </row>
    <row r="25" spans="2:27" x14ac:dyDescent="0.25">
      <c r="R25" t="s">
        <v>20</v>
      </c>
      <c r="S25" s="1">
        <f>C15*W29</f>
        <v>184.61538461538461</v>
      </c>
      <c r="V25" t="s">
        <v>17</v>
      </c>
      <c r="W25" s="1">
        <f>W23-W24</f>
        <v>0</v>
      </c>
      <c r="Z25" t="s">
        <v>20</v>
      </c>
      <c r="AA25" s="1">
        <f>-M18</f>
        <v>-225</v>
      </c>
    </row>
    <row r="26" spans="2:27" x14ac:dyDescent="0.25">
      <c r="R26" t="s">
        <v>3</v>
      </c>
      <c r="S26" s="1" t="str">
        <f>W38</f>
        <v>Proceeds</v>
      </c>
    </row>
    <row r="27" spans="2:27" x14ac:dyDescent="0.25">
      <c r="R27" t="s">
        <v>13</v>
      </c>
      <c r="S27" s="1">
        <f>-W28</f>
        <v>2400</v>
      </c>
      <c r="U27" t="s">
        <v>33</v>
      </c>
      <c r="Y27" t="s">
        <v>19</v>
      </c>
    </row>
    <row r="28" spans="2:27" x14ac:dyDescent="0.25">
      <c r="B28" s="2"/>
      <c r="R28" t="s">
        <v>15</v>
      </c>
      <c r="S28" s="1">
        <f>S25</f>
        <v>184.61538461538461</v>
      </c>
      <c r="V28" t="s">
        <v>20</v>
      </c>
      <c r="W28" s="1">
        <v>-2400</v>
      </c>
      <c r="Z28" t="s">
        <v>20</v>
      </c>
      <c r="AA28" s="1">
        <f>AA9+AA25</f>
        <v>225</v>
      </c>
    </row>
    <row r="29" spans="2:27" x14ac:dyDescent="0.25">
      <c r="B29" s="2"/>
      <c r="R29" t="s">
        <v>18</v>
      </c>
      <c r="S29" s="1">
        <f>W37</f>
        <v>200</v>
      </c>
      <c r="V29" t="s">
        <v>29</v>
      </c>
      <c r="W29" s="10">
        <f>-W28/H16</f>
        <v>0.73282450076336614</v>
      </c>
      <c r="Z29" t="s">
        <v>1</v>
      </c>
      <c r="AA29" s="1">
        <f>(AA28/AA9)*AA10</f>
        <v>300</v>
      </c>
    </row>
    <row r="30" spans="2:27" x14ac:dyDescent="0.25">
      <c r="R30" t="s">
        <v>17</v>
      </c>
      <c r="S30" s="1">
        <f>S28-S29</f>
        <v>-15.384615384615387</v>
      </c>
      <c r="Z30" t="s">
        <v>13</v>
      </c>
      <c r="AA30" s="1" t="s">
        <v>15</v>
      </c>
    </row>
    <row r="31" spans="2:27" x14ac:dyDescent="0.25">
      <c r="U31" t="s">
        <v>34</v>
      </c>
    </row>
    <row r="32" spans="2:27" x14ac:dyDescent="0.25">
      <c r="Q32" t="s">
        <v>37</v>
      </c>
      <c r="V32" t="s">
        <v>20</v>
      </c>
      <c r="W32" s="1">
        <f>-H16-W28</f>
        <v>-874.99967249999963</v>
      </c>
    </row>
    <row r="33" spans="2:23" x14ac:dyDescent="0.25">
      <c r="R33" t="s">
        <v>20</v>
      </c>
      <c r="S33" s="1">
        <f>C15*W33</f>
        <v>67.307667115384589</v>
      </c>
      <c r="V33" t="s">
        <v>29</v>
      </c>
      <c r="W33" s="10">
        <f>-W32/H16</f>
        <v>0.26717549923663381</v>
      </c>
    </row>
    <row r="34" spans="2:23" x14ac:dyDescent="0.25">
      <c r="R34" t="s">
        <v>3</v>
      </c>
      <c r="S34" s="1">
        <f>W43</f>
        <v>200</v>
      </c>
    </row>
    <row r="35" spans="2:23" x14ac:dyDescent="0.25">
      <c r="R35" t="s">
        <v>13</v>
      </c>
      <c r="S35" s="1">
        <f>-W32</f>
        <v>874.99967249999963</v>
      </c>
      <c r="U35" t="s">
        <v>16</v>
      </c>
    </row>
    <row r="36" spans="2:23" x14ac:dyDescent="0.25">
      <c r="R36" t="s">
        <v>15</v>
      </c>
      <c r="S36" s="1">
        <f>S33</f>
        <v>67.307667115384589</v>
      </c>
      <c r="V36" t="s">
        <v>20</v>
      </c>
      <c r="W36" s="1">
        <v>0</v>
      </c>
    </row>
    <row r="37" spans="2:23" x14ac:dyDescent="0.25">
      <c r="R37" t="s">
        <v>18</v>
      </c>
      <c r="S37" s="1">
        <f>S36</f>
        <v>67.307667115384589</v>
      </c>
      <c r="V37" t="s">
        <v>1</v>
      </c>
      <c r="W37" s="1">
        <f>W5</f>
        <v>200</v>
      </c>
    </row>
    <row r="38" spans="2:23" x14ac:dyDescent="0.25">
      <c r="B38" s="3"/>
      <c r="R38" t="s">
        <v>17</v>
      </c>
      <c r="S38" s="1">
        <f>S36-S37</f>
        <v>0</v>
      </c>
      <c r="V38" t="s">
        <v>3</v>
      </c>
      <c r="W38" s="1" t="str">
        <f>W6</f>
        <v>Proceeds</v>
      </c>
    </row>
    <row r="39" spans="2:23" x14ac:dyDescent="0.25">
      <c r="B39" s="2"/>
    </row>
    <row r="40" spans="2:23" x14ac:dyDescent="0.25">
      <c r="Q40" t="s">
        <v>39</v>
      </c>
      <c r="U40" t="s">
        <v>19</v>
      </c>
    </row>
    <row r="41" spans="2:23" x14ac:dyDescent="0.25">
      <c r="R41" t="s">
        <v>20</v>
      </c>
      <c r="S41" s="1">
        <f>C20*W47</f>
        <v>218.00002620000004</v>
      </c>
      <c r="V41" t="s">
        <v>20</v>
      </c>
      <c r="W41" s="1">
        <f>W12+W32</f>
        <v>2725.0003275000004</v>
      </c>
    </row>
    <row r="42" spans="2:23" x14ac:dyDescent="0.25">
      <c r="R42" t="s">
        <v>3</v>
      </c>
      <c r="S42" s="1">
        <f>W56</f>
        <v>200</v>
      </c>
      <c r="V42" t="s">
        <v>1</v>
      </c>
      <c r="W42" s="1" t="str">
        <f>W13</f>
        <v>Proceeds</v>
      </c>
    </row>
    <row r="43" spans="2:23" x14ac:dyDescent="0.25">
      <c r="R43" t="s">
        <v>13</v>
      </c>
      <c r="S43" s="1">
        <f>-W46</f>
        <v>2725.0003275000004</v>
      </c>
      <c r="V43" t="s">
        <v>3</v>
      </c>
      <c r="W43" s="1">
        <f>W14</f>
        <v>200</v>
      </c>
    </row>
    <row r="44" spans="2:23" x14ac:dyDescent="0.25">
      <c r="B44" t="s">
        <v>0</v>
      </c>
      <c r="C44" s="1" cm="1">
        <f t="array" ref="C44">SUMPRODUCT(--(B$3:B$38=B44),C$3:C$38)</f>
        <v>1775.9230779307691</v>
      </c>
      <c r="D44" s="1" cm="1">
        <f t="array" ref="D44">SUMPRODUCT(--(B$3:B$38=B44),D$3:D$38)</f>
        <v>800</v>
      </c>
      <c r="E44" s="1">
        <f>C44-D44</f>
        <v>975.92307793076907</v>
      </c>
      <c r="G44" t="s">
        <v>0</v>
      </c>
      <c r="H44" s="1" cm="1">
        <f t="array" ref="H44">SUMPRODUCT(--(G$4:G$39=G44),H$4:H$39)</f>
        <v>9825</v>
      </c>
      <c r="I44" s="1" cm="1">
        <f t="array" ref="I44">SUMPRODUCT(--(G$4:G$39=G44),I$4:I$39)</f>
        <v>9825</v>
      </c>
      <c r="J44" s="1">
        <f>H44-I44</f>
        <v>0</v>
      </c>
      <c r="L44" t="s">
        <v>0</v>
      </c>
      <c r="M44" s="1" cm="1">
        <f t="array" ref="M44">SUMPRODUCT(--(L$3:L$39=L44),M$3:M$39)</f>
        <v>650</v>
      </c>
      <c r="N44" s="1" cm="1">
        <f t="array" ref="N44">SUMPRODUCT(--(L$3:L$39=L44),N$3:N$39)</f>
        <v>425</v>
      </c>
      <c r="O44" s="1">
        <f>M44-N44</f>
        <v>225</v>
      </c>
      <c r="R44" t="s">
        <v>15</v>
      </c>
      <c r="S44" s="1">
        <f>S41</f>
        <v>218.00002620000004</v>
      </c>
    </row>
    <row r="45" spans="2:23" x14ac:dyDescent="0.25">
      <c r="L45" t="s">
        <v>6</v>
      </c>
      <c r="M45" s="1" cm="1">
        <f t="array" ref="M45">SUMPRODUCT(--(L$3:L$39=L45),M$3:M$39)</f>
        <v>200</v>
      </c>
      <c r="N45" s="1" cm="1">
        <f t="array" ref="N45">SUMPRODUCT(--(L$3:L$39=L45),N$3:N$39)</f>
        <v>200</v>
      </c>
      <c r="O45" s="1">
        <f>M45-N45</f>
        <v>0</v>
      </c>
      <c r="R45" t="s">
        <v>18</v>
      </c>
      <c r="S45" s="1">
        <f>S44</f>
        <v>218.00002620000004</v>
      </c>
      <c r="U45" t="s">
        <v>35</v>
      </c>
    </row>
    <row r="46" spans="2:23" x14ac:dyDescent="0.25">
      <c r="B46" t="s">
        <v>30</v>
      </c>
      <c r="C46" s="1" cm="1">
        <f t="array" ref="C46">SUMPRODUCT(--(B$3:B$38=B46),C$3:C$38)</f>
        <v>0</v>
      </c>
      <c r="D46" s="1" cm="1">
        <f t="array" ref="D46">SUMPRODUCT(--(B$3:B$38=B46),D$3:D$38)</f>
        <v>6</v>
      </c>
      <c r="E46" s="1">
        <f>C46-D46</f>
        <v>-6</v>
      </c>
      <c r="G46" s="3" t="s">
        <v>8</v>
      </c>
      <c r="H46" s="1" cm="1">
        <f t="array" ref="H46">SUMPRODUCT(--(G$4:G$39=G46),H$4:H$39)</f>
        <v>9825</v>
      </c>
      <c r="I46" s="1" cm="1">
        <f t="array" ref="I46">SUMPRODUCT(--(G$4:G$39=G46),I$4:I$39)</f>
        <v>9825</v>
      </c>
      <c r="J46" s="1">
        <f>H46-I46</f>
        <v>0</v>
      </c>
      <c r="R46" t="s">
        <v>17</v>
      </c>
      <c r="S46" s="1">
        <f>S44-S45</f>
        <v>0</v>
      </c>
      <c r="V46" t="s">
        <v>20</v>
      </c>
      <c r="W46" s="1">
        <f>-W41</f>
        <v>-2725.0003275000004</v>
      </c>
    </row>
    <row r="47" spans="2:23" x14ac:dyDescent="0.25">
      <c r="B47" t="s">
        <v>31</v>
      </c>
      <c r="C47" s="1" cm="1">
        <f t="array" ref="C47">SUMPRODUCT(--(B$3:B$38=B47),C$3:C$38)</f>
        <v>15.384615384615387</v>
      </c>
      <c r="D47" s="1" cm="1">
        <f t="array" ref="D47">SUMPRODUCT(--(B$3:B$38=B47),D$3:D$38)</f>
        <v>0</v>
      </c>
      <c r="E47" s="1">
        <f>C47-D47</f>
        <v>15.384615384615387</v>
      </c>
      <c r="G47" s="3"/>
      <c r="L47" t="s">
        <v>4</v>
      </c>
      <c r="M47" s="1" cm="1">
        <f t="array" ref="M47">SUMPRODUCT(--(L$3:L$39=L47),M$3:M$39)</f>
        <v>0</v>
      </c>
      <c r="N47" s="1" cm="1">
        <f t="array" ref="N47">SUMPRODUCT(--(L$3:L$39=L47),N$3:N$39)</f>
        <v>0</v>
      </c>
      <c r="O47" s="1">
        <f>M47-N47</f>
        <v>0</v>
      </c>
      <c r="V47" t="s">
        <v>29</v>
      </c>
      <c r="W47" s="1">
        <f>-W46/$H$20</f>
        <v>0.41603056354961693</v>
      </c>
    </row>
    <row r="48" spans="2:23" x14ac:dyDescent="0.25">
      <c r="B48" t="s">
        <v>4</v>
      </c>
      <c r="C48" s="1" cm="1">
        <f t="array" ref="C48">SUMPRODUCT(--(B$3:B$38=B48),C$3:C$38)</f>
        <v>0</v>
      </c>
      <c r="D48" s="1" cm="1">
        <f t="array" ref="D48">SUMPRODUCT(--(B$3:B$38=B48),D$3:D$38)</f>
        <v>0</v>
      </c>
      <c r="E48" s="1">
        <f>C48-D48</f>
        <v>0</v>
      </c>
      <c r="G48" s="3"/>
      <c r="L48" t="s">
        <v>5</v>
      </c>
      <c r="M48" s="1" cm="1">
        <f t="array" ref="M48">SUMPRODUCT(--(L$3:L$39=L48),M$3:M$39)</f>
        <v>0</v>
      </c>
      <c r="N48" s="1" cm="1">
        <f t="array" ref="N48">SUMPRODUCT(--(L$3:L$39=L48),N$3:N$39)</f>
        <v>0</v>
      </c>
      <c r="O48" s="1">
        <f>M48-N48</f>
        <v>0</v>
      </c>
      <c r="Q48" t="s">
        <v>40</v>
      </c>
    </row>
    <row r="49" spans="2:23" x14ac:dyDescent="0.25">
      <c r="G49" s="3"/>
      <c r="L49" s="3"/>
      <c r="R49" t="s">
        <v>20</v>
      </c>
      <c r="S49" s="1">
        <f>C20*W51</f>
        <v>306</v>
      </c>
      <c r="U49" t="s">
        <v>36</v>
      </c>
    </row>
    <row r="50" spans="2:23" x14ac:dyDescent="0.25">
      <c r="B50" t="s">
        <v>8</v>
      </c>
      <c r="C50" s="1" cm="1">
        <f t="array" ref="C50">SUMPRODUCT(--(B$3:B$38=B50),C$3:C$38)</f>
        <v>800</v>
      </c>
      <c r="D50" s="1" cm="1">
        <f t="array" ref="D50">SUMPRODUCT(--(B$3:B$38=B50),D$3:D$38)</f>
        <v>1785.3076933153843</v>
      </c>
      <c r="E50" s="1">
        <f>C50-D50</f>
        <v>-985.30769331538431</v>
      </c>
      <c r="L50" t="s">
        <v>8</v>
      </c>
      <c r="M50" s="1" cm="1">
        <f t="array" ref="M50">SUMPRODUCT(--(L$3:L$39=L50),M$3:M$39)</f>
        <v>425</v>
      </c>
      <c r="N50" s="1" cm="1">
        <f t="array" ref="N50">SUMPRODUCT(--(L$3:L$39=L50),N$3:N$39)</f>
        <v>650</v>
      </c>
      <c r="O50" s="1">
        <f>M50-N50</f>
        <v>-225</v>
      </c>
      <c r="R50" t="s">
        <v>3</v>
      </c>
      <c r="S50" s="1">
        <f>W22</f>
        <v>225</v>
      </c>
      <c r="V50" t="s">
        <v>20</v>
      </c>
      <c r="W50" s="1">
        <f>-(H20+W46)</f>
        <v>-3824.9999999999995</v>
      </c>
    </row>
    <row r="51" spans="2:23" x14ac:dyDescent="0.25">
      <c r="R51" t="s">
        <v>13</v>
      </c>
      <c r="S51" s="1">
        <f>-W50</f>
        <v>3824.9999999999995</v>
      </c>
      <c r="V51" t="s">
        <v>29</v>
      </c>
      <c r="W51" s="1">
        <f>-W50/H20</f>
        <v>0.58396943645038313</v>
      </c>
    </row>
    <row r="52" spans="2:23" x14ac:dyDescent="0.25">
      <c r="R52" t="s">
        <v>15</v>
      </c>
      <c r="S52" s="1">
        <f>S49</f>
        <v>306</v>
      </c>
    </row>
    <row r="53" spans="2:23" x14ac:dyDescent="0.25">
      <c r="G53" s="3"/>
      <c r="R53" t="s">
        <v>18</v>
      </c>
      <c r="S53" s="1">
        <f>W21</f>
        <v>300</v>
      </c>
      <c r="U53" t="s">
        <v>19</v>
      </c>
    </row>
    <row r="54" spans="2:23" x14ac:dyDescent="0.25">
      <c r="R54" t="s">
        <v>17</v>
      </c>
      <c r="S54" s="1">
        <f>S52-S53</f>
        <v>6</v>
      </c>
      <c r="V54" t="s">
        <v>20</v>
      </c>
      <c r="W54" s="1">
        <f>W41+W46</f>
        <v>0</v>
      </c>
    </row>
    <row r="55" spans="2:23" x14ac:dyDescent="0.25">
      <c r="V55" t="s">
        <v>1</v>
      </c>
      <c r="W55" s="1" t="str">
        <f>W42</f>
        <v>Proceeds</v>
      </c>
    </row>
    <row r="56" spans="2:23" x14ac:dyDescent="0.25">
      <c r="V56" t="s">
        <v>3</v>
      </c>
      <c r="W56" s="1">
        <f>W43</f>
        <v>200</v>
      </c>
    </row>
  </sheetData>
  <mergeCells count="3">
    <mergeCell ref="B2:D2"/>
    <mergeCell ref="G2:I2"/>
    <mergeCell ref="L2:N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E519-4D82-4D0C-B9FC-C94C8302A06F}">
  <dimension ref="A2:X53"/>
  <sheetViews>
    <sheetView tabSelected="1" workbookViewId="0">
      <selection activeCell="B3" sqref="B3"/>
    </sheetView>
  </sheetViews>
  <sheetFormatPr defaultRowHeight="15" x14ac:dyDescent="0.25"/>
  <cols>
    <col min="1" max="1" width="5.5703125" customWidth="1"/>
    <col min="2" max="2" width="35.42578125" customWidth="1"/>
    <col min="3" max="5" width="12" style="1" customWidth="1"/>
    <col min="6" max="6" width="5.7109375" customWidth="1"/>
    <col min="7" max="7" width="35.42578125" customWidth="1"/>
    <col min="8" max="9" width="12" style="14" customWidth="1"/>
    <col min="10" max="10" width="12" style="1" customWidth="1"/>
    <col min="11" max="11" width="6.140625" customWidth="1"/>
    <col min="12" max="12" width="35.42578125" customWidth="1"/>
    <col min="13" max="14" width="12" style="1" customWidth="1"/>
    <col min="15" max="15" width="11.28515625" style="1" customWidth="1"/>
    <col min="17" max="24" width="11" customWidth="1"/>
  </cols>
  <sheetData>
    <row r="2" spans="1:24" s="7" customFormat="1" ht="31.5" customHeight="1" x14ac:dyDescent="0.25">
      <c r="B2" s="11" t="s">
        <v>1</v>
      </c>
      <c r="C2" s="11"/>
      <c r="D2" s="11"/>
      <c r="E2" s="6"/>
      <c r="G2" s="11" t="s">
        <v>46</v>
      </c>
      <c r="H2" s="11"/>
      <c r="I2" s="11"/>
      <c r="J2" s="8"/>
      <c r="L2" s="11" t="s">
        <v>3</v>
      </c>
      <c r="M2" s="11"/>
      <c r="N2" s="11"/>
      <c r="O2" s="6"/>
      <c r="Q2" s="9" t="s">
        <v>41</v>
      </c>
      <c r="R2" s="9" t="s">
        <v>42</v>
      </c>
      <c r="S2" s="9"/>
      <c r="T2" s="9"/>
      <c r="U2" s="9"/>
      <c r="V2" s="9"/>
      <c r="W2" s="9"/>
      <c r="X2" s="9"/>
    </row>
    <row r="3" spans="1:24" x14ac:dyDescent="0.25">
      <c r="B3" t="s">
        <v>0</v>
      </c>
      <c r="C3" s="1">
        <v>1000</v>
      </c>
      <c r="F3" s="4" t="s">
        <v>21</v>
      </c>
      <c r="G3" t="s">
        <v>43</v>
      </c>
      <c r="H3" s="14">
        <f>ROUND(C6*2.3,0)</f>
        <v>610</v>
      </c>
      <c r="L3" t="s">
        <v>6</v>
      </c>
      <c r="M3" s="1">
        <v>200</v>
      </c>
      <c r="Q3" s="12">
        <f>C3</f>
        <v>1000</v>
      </c>
      <c r="R3" s="12">
        <f>D4</f>
        <v>1000</v>
      </c>
    </row>
    <row r="4" spans="1:24" x14ac:dyDescent="0.25">
      <c r="B4" s="2" t="s">
        <v>8</v>
      </c>
      <c r="D4" s="1">
        <f>C3</f>
        <v>1000</v>
      </c>
      <c r="G4" s="2" t="s">
        <v>8</v>
      </c>
      <c r="I4" s="14">
        <f>H3</f>
        <v>610</v>
      </c>
      <c r="L4" s="2" t="s">
        <v>8</v>
      </c>
      <c r="N4" s="1">
        <f>M3</f>
        <v>200</v>
      </c>
    </row>
    <row r="6" spans="1:24" x14ac:dyDescent="0.25">
      <c r="A6" s="4" t="s">
        <v>21</v>
      </c>
      <c r="B6" s="13" t="s">
        <v>8</v>
      </c>
      <c r="C6" s="1">
        <f>D9-SUM(C7:C8)</f>
        <v>265</v>
      </c>
      <c r="F6" s="4" t="s">
        <v>22</v>
      </c>
      <c r="G6" s="3" t="s">
        <v>8</v>
      </c>
      <c r="H6" s="14">
        <v>40</v>
      </c>
      <c r="K6" s="4" t="s">
        <v>25</v>
      </c>
      <c r="L6" s="3" t="s">
        <v>0</v>
      </c>
      <c r="M6" s="1">
        <f>H9*(4*0.75)</f>
        <v>150</v>
      </c>
    </row>
    <row r="7" spans="1:24" x14ac:dyDescent="0.25">
      <c r="B7" t="s">
        <v>44</v>
      </c>
      <c r="C7" s="1">
        <v>20</v>
      </c>
      <c r="G7" s="15" t="s">
        <v>43</v>
      </c>
      <c r="I7" s="14">
        <f>H6</f>
        <v>40</v>
      </c>
      <c r="L7" s="15" t="s">
        <v>8</v>
      </c>
      <c r="N7" s="1">
        <f>M6</f>
        <v>150</v>
      </c>
    </row>
    <row r="8" spans="1:24" x14ac:dyDescent="0.25">
      <c r="B8" s="3" t="s">
        <v>45</v>
      </c>
      <c r="C8" s="1">
        <f>D9*5%</f>
        <v>15</v>
      </c>
      <c r="G8" s="3"/>
      <c r="L8" s="2"/>
    </row>
    <row r="9" spans="1:24" x14ac:dyDescent="0.25">
      <c r="B9" s="2" t="s">
        <v>0</v>
      </c>
      <c r="D9" s="1">
        <v>300</v>
      </c>
      <c r="F9" s="4" t="s">
        <v>25</v>
      </c>
      <c r="G9" s="3" t="s">
        <v>8</v>
      </c>
      <c r="H9" s="14">
        <v>50</v>
      </c>
      <c r="K9" s="4" t="s">
        <v>27</v>
      </c>
      <c r="L9" s="3" t="s">
        <v>8</v>
      </c>
      <c r="M9" s="1">
        <v>150</v>
      </c>
    </row>
    <row r="10" spans="1:24" x14ac:dyDescent="0.25">
      <c r="G10" s="2" t="s">
        <v>43</v>
      </c>
      <c r="I10" s="14">
        <f>H9</f>
        <v>50</v>
      </c>
      <c r="L10" s="2" t="s">
        <v>0</v>
      </c>
      <c r="N10" s="1">
        <f>M9</f>
        <v>150</v>
      </c>
    </row>
    <row r="11" spans="1:24" x14ac:dyDescent="0.25">
      <c r="B11" t="s">
        <v>0</v>
      </c>
      <c r="C11" s="1">
        <f>(H6*4)*(1+5%)</f>
        <v>168</v>
      </c>
      <c r="G11" s="5"/>
      <c r="L11" s="3"/>
    </row>
    <row r="12" spans="1:24" x14ac:dyDescent="0.25">
      <c r="B12" s="2" t="s">
        <v>47</v>
      </c>
      <c r="D12" s="1">
        <f>C11-(H6*4)</f>
        <v>8</v>
      </c>
      <c r="L12" s="2"/>
    </row>
    <row r="13" spans="1:24" x14ac:dyDescent="0.25">
      <c r="A13" s="4" t="s">
        <v>22</v>
      </c>
      <c r="B13" s="2" t="s">
        <v>8</v>
      </c>
      <c r="D13" s="1">
        <v>92.08</v>
      </c>
      <c r="G13" s="2"/>
    </row>
    <row r="14" spans="1:24" x14ac:dyDescent="0.25">
      <c r="A14" s="4" t="s">
        <v>22</v>
      </c>
      <c r="B14" s="15" t="s">
        <v>7</v>
      </c>
      <c r="D14" s="1">
        <f>H6*(H3/C6)-D13</f>
        <v>-4.5283018867934288E-3</v>
      </c>
      <c r="L14" s="3"/>
    </row>
    <row r="15" spans="1:24" x14ac:dyDescent="0.25">
      <c r="B15" s="15" t="s">
        <v>48</v>
      </c>
      <c r="D15" s="1">
        <f>C11-SUM(D12:D14)</f>
        <v>67.924528301886795</v>
      </c>
      <c r="G15" s="4"/>
      <c r="L15" s="2"/>
    </row>
    <row r="16" spans="1:24" x14ac:dyDescent="0.25">
      <c r="B16" s="2"/>
    </row>
    <row r="17" spans="1:12" x14ac:dyDescent="0.25">
      <c r="A17" s="4" t="s">
        <v>27</v>
      </c>
      <c r="B17" s="3" t="s">
        <v>0</v>
      </c>
      <c r="C17" s="1">
        <f>M9/0.775</f>
        <v>193.54838709677418</v>
      </c>
      <c r="G17" s="2"/>
      <c r="L17" s="4"/>
    </row>
    <row r="18" spans="1:12" x14ac:dyDescent="0.25">
      <c r="B18" s="2" t="s">
        <v>47</v>
      </c>
      <c r="D18" s="1">
        <f>(C17/(1+5%))*5%</f>
        <v>9.2165898617511512</v>
      </c>
    </row>
    <row r="19" spans="1:12" x14ac:dyDescent="0.25">
      <c r="B19" s="2" t="s">
        <v>8</v>
      </c>
      <c r="D19" s="1">
        <v>115.09</v>
      </c>
      <c r="G19" s="2"/>
      <c r="L19" s="2"/>
    </row>
    <row r="20" spans="1:12" x14ac:dyDescent="0.25">
      <c r="B20" s="2" t="s">
        <v>30</v>
      </c>
      <c r="D20" s="1">
        <f>D19-(H3/C6)*H9</f>
        <v>-4.3396226415097772E-3</v>
      </c>
    </row>
    <row r="21" spans="1:12" x14ac:dyDescent="0.25">
      <c r="B21" s="2" t="s">
        <v>48</v>
      </c>
      <c r="D21" s="1">
        <f>C17-SUM(D18:D20)</f>
        <v>69.246136857664538</v>
      </c>
      <c r="L21" s="2"/>
    </row>
    <row r="22" spans="1:12" x14ac:dyDescent="0.25">
      <c r="B22" s="3"/>
      <c r="L22" s="3"/>
    </row>
    <row r="23" spans="1:12" x14ac:dyDescent="0.25">
      <c r="L23" s="2"/>
    </row>
    <row r="24" spans="1:12" x14ac:dyDescent="0.25">
      <c r="B24" s="2"/>
    </row>
    <row r="28" spans="1:12" x14ac:dyDescent="0.25">
      <c r="B28" s="2"/>
    </row>
    <row r="29" spans="1:12" x14ac:dyDescent="0.25">
      <c r="B29" s="2"/>
    </row>
    <row r="38" spans="2:15" x14ac:dyDescent="0.25">
      <c r="B38" s="3"/>
    </row>
    <row r="39" spans="2:15" x14ac:dyDescent="0.25">
      <c r="B39" s="2"/>
    </row>
    <row r="44" spans="2:15" x14ac:dyDescent="0.25">
      <c r="B44" t="s">
        <v>0</v>
      </c>
      <c r="C44" s="1" cm="1">
        <f t="array" ref="C44">SUMPRODUCT(--(B$3:B$38=B44),C$3:C$38)</f>
        <v>1361.5483870967741</v>
      </c>
      <c r="D44" s="1" cm="1">
        <f t="array" ref="D44">SUMPRODUCT(--(B$3:B$38=B44),D$3:D$38)</f>
        <v>300</v>
      </c>
      <c r="E44" s="1">
        <f>C44-D44</f>
        <v>1061.5483870967741</v>
      </c>
      <c r="G44" t="s">
        <v>0</v>
      </c>
      <c r="H44" s="14" cm="1">
        <f t="array" ref="H44">SUMPRODUCT(--(G$3:G$39=G44),H$3:H$39)</f>
        <v>0</v>
      </c>
      <c r="I44" s="14" cm="1">
        <f t="array" ref="I44">SUMPRODUCT(--(G$3:G$39=G44),I$3:I$39)</f>
        <v>0</v>
      </c>
      <c r="J44" s="1">
        <f>H44-I44</f>
        <v>0</v>
      </c>
      <c r="L44" t="s">
        <v>0</v>
      </c>
      <c r="M44" s="1" cm="1">
        <f t="array" ref="M44">SUMPRODUCT(--(L$3:L$39=L44),M$3:M$39)</f>
        <v>150</v>
      </c>
      <c r="N44" s="1" cm="1">
        <f t="array" ref="N44">SUMPRODUCT(--(L$3:L$39=L44),N$3:N$39)</f>
        <v>150</v>
      </c>
      <c r="O44" s="1">
        <f>M44-N44</f>
        <v>0</v>
      </c>
    </row>
    <row r="45" spans="2:15" x14ac:dyDescent="0.25">
      <c r="L45" t="s">
        <v>6</v>
      </c>
      <c r="M45" s="1" cm="1">
        <f t="array" ref="M45">SUMPRODUCT(--(L$3:L$39=L45),M$3:M$39)</f>
        <v>200</v>
      </c>
      <c r="N45" s="1" cm="1">
        <f t="array" ref="N45">SUMPRODUCT(--(L$3:L$39=L45),N$3:N$39)</f>
        <v>0</v>
      </c>
      <c r="O45" s="1">
        <f>M45-N45</f>
        <v>200</v>
      </c>
    </row>
    <row r="46" spans="2:15" x14ac:dyDescent="0.25">
      <c r="B46" t="s">
        <v>7</v>
      </c>
      <c r="C46" s="1" cm="1">
        <f t="array" ref="C46">SUMPRODUCT(--(B$3:B$38=B46),C$3:C$38)</f>
        <v>0</v>
      </c>
      <c r="D46" s="1" cm="1">
        <f t="array" ref="D46">SUMPRODUCT(--(B$3:B$38=B46),D$3:D$38)</f>
        <v>-4.5283018867934288E-3</v>
      </c>
      <c r="E46" s="1">
        <f>C46-D46</f>
        <v>4.5283018867934288E-3</v>
      </c>
      <c r="G46" s="3" t="s">
        <v>8</v>
      </c>
      <c r="H46" s="14" cm="1">
        <f t="array" ref="H46">SUMPRODUCT(--(G$3:G$39=G46),H$3:H$39)</f>
        <v>90</v>
      </c>
      <c r="I46" s="14" cm="1">
        <f t="array" ref="I46">SUMPRODUCT(--(G$3:G$39=G46),I$3:I$39)</f>
        <v>610</v>
      </c>
      <c r="J46" s="1">
        <f>H46-I46</f>
        <v>-520</v>
      </c>
    </row>
    <row r="47" spans="2:15" x14ac:dyDescent="0.25">
      <c r="B47" t="s">
        <v>4</v>
      </c>
      <c r="C47" s="1" cm="1">
        <f t="array" ref="C47">SUMPRODUCT(--(B$3:B$38=B47),C$3:C$38)</f>
        <v>0</v>
      </c>
      <c r="D47" s="1" cm="1">
        <f t="array" ref="D47">SUMPRODUCT(--(B$3:B$38=B47),D$3:D$38)</f>
        <v>0</v>
      </c>
      <c r="E47" s="1">
        <f>C47-D47</f>
        <v>0</v>
      </c>
      <c r="G47" s="3"/>
      <c r="L47" t="s">
        <v>4</v>
      </c>
      <c r="M47" s="1" cm="1">
        <f t="array" ref="M47">SUMPRODUCT(--(L$3:L$39=L47),M$3:M$39)</f>
        <v>0</v>
      </c>
      <c r="N47" s="1" cm="1">
        <f t="array" ref="N47">SUMPRODUCT(--(L$3:L$39=L47),N$3:N$39)</f>
        <v>0</v>
      </c>
      <c r="O47" s="1">
        <f>M47-N47</f>
        <v>0</v>
      </c>
    </row>
    <row r="48" spans="2:15" x14ac:dyDescent="0.25">
      <c r="G48" s="3"/>
      <c r="L48" t="s">
        <v>5</v>
      </c>
      <c r="M48" s="1" cm="1">
        <f t="array" ref="M48">SUMPRODUCT(--(L$3:L$39=L48),M$3:M$39)</f>
        <v>0</v>
      </c>
      <c r="N48" s="1" cm="1">
        <f t="array" ref="N48">SUMPRODUCT(--(L$3:L$39=L48),N$3:N$39)</f>
        <v>0</v>
      </c>
      <c r="O48" s="1">
        <f>M48-N48</f>
        <v>0</v>
      </c>
    </row>
    <row r="49" spans="2:15" x14ac:dyDescent="0.25">
      <c r="B49" t="s">
        <v>8</v>
      </c>
      <c r="C49" s="1" cm="1">
        <f t="array" ref="C49">SUMPRODUCT(--(B$3:B$38=B49),C$3:C$38)</f>
        <v>265</v>
      </c>
      <c r="D49" s="1" cm="1">
        <f t="array" ref="D49">SUMPRODUCT(--(B$3:B$38=B49),D$3:D$38)</f>
        <v>1207.1699999999998</v>
      </c>
      <c r="E49" s="1">
        <f>C49-D49</f>
        <v>-942.16999999999985</v>
      </c>
      <c r="G49" s="3"/>
      <c r="L49" s="3"/>
    </row>
    <row r="50" spans="2:15" x14ac:dyDescent="0.25">
      <c r="L50" t="s">
        <v>8</v>
      </c>
      <c r="M50" s="1" cm="1">
        <f t="array" ref="M50">SUMPRODUCT(--(L$3:L$39=L50),M$3:M$39)</f>
        <v>150</v>
      </c>
      <c r="N50" s="1" cm="1">
        <f t="array" ref="N50">SUMPRODUCT(--(L$3:L$39=L50),N$3:N$39)</f>
        <v>350</v>
      </c>
      <c r="O50" s="1">
        <f>M50-N50</f>
        <v>-200</v>
      </c>
    </row>
    <row r="53" spans="2:15" x14ac:dyDescent="0.25">
      <c r="G53" s="3"/>
    </row>
  </sheetData>
  <mergeCells count="3">
    <mergeCell ref="B2:D2"/>
    <mergeCell ref="G2:I2"/>
    <mergeCell ref="L2:N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cp:lastPrinted>2026-04-07T06:49:53Z</cp:lastPrinted>
  <dcterms:created xsi:type="dcterms:W3CDTF">2026-04-07T00:52:54Z</dcterms:created>
  <dcterms:modified xsi:type="dcterms:W3CDTF">2026-04-14T22:05:18Z</dcterms:modified>
</cp:coreProperties>
</file>
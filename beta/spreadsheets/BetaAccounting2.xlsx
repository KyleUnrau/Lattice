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mputer\Repositories\Finance\Accounting-Software\beta\spreadsheets\"/>
    </mc:Choice>
  </mc:AlternateContent>
  <xr:revisionPtr revIDLastSave="105" documentId="8_{44106D92-8B3C-4600-8A45-896E692E5FB1}" xr6:coauthVersionLast="47" xr6:coauthVersionMax="47" xr10:uidLastSave="{FF12A813-521D-4061-8F05-36C2AC879637}"/>
  <bookViews>
    <workbookView xWindow="10455" yWindow="1800" windowWidth="28620" windowHeight="15585" activeTab="1" xr2:uid="{381BEFD0-7E85-41E9-9E92-8E64484C7618}"/>
  </bookViews>
  <sheets>
    <sheet name="Original" sheetId="2" r:id="rId1"/>
    <sheet name="New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6" l="1"/>
  <c r="E6" i="6" s="1"/>
  <c r="I2" i="6" s="1"/>
  <c r="D3" i="2"/>
  <c r="D67" i="2"/>
  <c r="D68" i="2"/>
  <c r="C66" i="2"/>
  <c r="H60" i="2"/>
  <c r="G59" i="2"/>
  <c r="D64" i="2"/>
  <c r="C63" i="2"/>
  <c r="K89" i="2" a="1"/>
  <c r="K89" i="2" s="1"/>
  <c r="K88" i="2" a="1"/>
  <c r="K88" i="2" s="1"/>
  <c r="K87" i="2" a="1"/>
  <c r="K87" i="2" s="1"/>
  <c r="H57" i="2"/>
  <c r="G56" i="2"/>
  <c r="L43" i="2"/>
  <c r="K42" i="2"/>
  <c r="L40" i="2"/>
  <c r="K39" i="2"/>
  <c r="D61" i="2"/>
  <c r="C60" i="2"/>
  <c r="J6" i="6" l="1"/>
  <c r="I5" i="6" s="1"/>
  <c r="J3" i="6"/>
  <c r="D5" i="6"/>
  <c r="D58" i="2"/>
  <c r="D57" i="2"/>
  <c r="D56" i="2"/>
  <c r="C55" i="2"/>
  <c r="H54" i="2"/>
  <c r="G53" i="2"/>
  <c r="L37" i="2"/>
  <c r="K36" i="2"/>
  <c r="K35" i="2"/>
  <c r="L33" i="2"/>
  <c r="L32" i="2"/>
  <c r="K31" i="2"/>
  <c r="D53" i="2"/>
  <c r="C52" i="2"/>
  <c r="H51" i="2"/>
  <c r="G50" i="2"/>
  <c r="G49" i="2"/>
  <c r="H46" i="2"/>
  <c r="H47" i="2"/>
  <c r="G45" i="2"/>
  <c r="D50" i="2"/>
  <c r="C49" i="2"/>
  <c r="L29" i="2"/>
  <c r="K28" i="2"/>
  <c r="L26" i="2"/>
  <c r="K25" i="2"/>
  <c r="D47" i="2"/>
  <c r="C46" i="2"/>
  <c r="H43" i="2"/>
  <c r="G42" i="2"/>
  <c r="H40" i="2"/>
  <c r="G39" i="2"/>
  <c r="D44" i="2"/>
  <c r="C43" i="2"/>
  <c r="D19" i="2"/>
  <c r="G12" i="2"/>
  <c r="H10" i="2"/>
  <c r="C15" i="2"/>
  <c r="D16" i="2" s="1"/>
  <c r="K8" i="2"/>
  <c r="L9" i="2" s="1"/>
  <c r="D13" i="2"/>
  <c r="C11" i="2"/>
  <c r="D12" i="2" s="1"/>
  <c r="K2" i="2"/>
  <c r="K5" i="2"/>
  <c r="D9" i="2"/>
  <c r="C8" i="2"/>
  <c r="H6" i="2"/>
  <c r="L3" i="2"/>
  <c r="D6" i="2"/>
  <c r="H3" i="2"/>
  <c r="G2" i="2"/>
  <c r="I8" i="6" l="1"/>
  <c r="I15" i="6"/>
  <c r="E13" i="6" s="1"/>
  <c r="J13" i="6"/>
  <c r="J9" i="6"/>
  <c r="N2" i="6"/>
  <c r="G8" i="2"/>
  <c r="L6" i="2"/>
  <c r="O6" i="6" l="1"/>
  <c r="O3" i="6"/>
  <c r="N8" i="6"/>
  <c r="O9" i="6" s="1"/>
  <c r="I11" i="6" s="1"/>
  <c r="E10" i="6"/>
  <c r="H9" i="2"/>
  <c r="J12" i="6" l="1"/>
  <c r="J17" i="6"/>
  <c r="D12" i="6" s="1"/>
  <c r="D8" i="6"/>
  <c r="N5" i="6"/>
  <c r="G13" i="2"/>
  <c r="E9" i="6" l="1"/>
  <c r="E18" i="6"/>
  <c r="D17" i="6" s="1"/>
  <c r="J20" i="6" s="1"/>
  <c r="I16" i="6"/>
  <c r="E14" i="6" s="1"/>
  <c r="D20" i="2"/>
  <c r="H14" i="2"/>
  <c r="E15" i="6" l="1"/>
  <c r="I36" i="6"/>
  <c r="E22" i="6" s="1"/>
  <c r="I19" i="6"/>
  <c r="C18" i="2"/>
  <c r="J23" i="6" l="1"/>
  <c r="D21" i="2"/>
  <c r="C23" i="2"/>
  <c r="I22" i="6" l="1"/>
  <c r="D24" i="2"/>
  <c r="C26" i="2"/>
  <c r="O12" i="6" l="1"/>
  <c r="N11" i="6" s="1"/>
  <c r="C29" i="2"/>
  <c r="D27" i="2"/>
  <c r="G16" i="2"/>
  <c r="O15" i="6" l="1"/>
  <c r="G19" i="2"/>
  <c r="H24" i="2"/>
  <c r="G26" i="2" s="1"/>
  <c r="H17" i="2"/>
  <c r="C32" i="2"/>
  <c r="D30" i="2"/>
  <c r="I25" i="6" l="1"/>
  <c r="N14" i="6"/>
  <c r="J27" i="6"/>
  <c r="D33" i="2"/>
  <c r="C35" i="2"/>
  <c r="D36" i="2" s="1"/>
  <c r="H31" i="2"/>
  <c r="G35" i="2" s="1"/>
  <c r="K11" i="2"/>
  <c r="H20" i="2"/>
  <c r="J30" i="6" l="1"/>
  <c r="J26" i="6"/>
  <c r="D40" i="2"/>
  <c r="K14" i="2"/>
  <c r="L12" i="2"/>
  <c r="N17" i="6" l="1"/>
  <c r="I29" i="6"/>
  <c r="J33" i="6" s="1"/>
  <c r="G22" i="2"/>
  <c r="L15" i="2"/>
  <c r="O18" i="6" l="1"/>
  <c r="O21" i="6"/>
  <c r="H28" i="2"/>
  <c r="H23" i="2"/>
  <c r="I32" i="6" l="1"/>
  <c r="N20" i="6"/>
  <c r="G27" i="2"/>
  <c r="K17" i="2"/>
  <c r="L18" i="2"/>
  <c r="K21" i="2" s="1"/>
  <c r="J34" i="6" l="1"/>
  <c r="I37" i="6" s="1"/>
  <c r="E23" i="6" s="1"/>
  <c r="J38" i="6"/>
  <c r="D20" i="6" s="1"/>
  <c r="L23" i="2"/>
  <c r="G30" i="2" s="1"/>
  <c r="L19" i="2"/>
  <c r="K22" i="2" s="1"/>
  <c r="H32" i="2"/>
  <c r="E26" i="6" l="1"/>
  <c r="D21" i="6"/>
  <c r="H33" i="2"/>
  <c r="D25" i="6" l="1"/>
  <c r="I40" i="6"/>
  <c r="G36" i="2"/>
  <c r="J41" i="6" l="1"/>
  <c r="I53" i="6" s="1"/>
  <c r="E29" i="6" s="1"/>
  <c r="J44" i="6"/>
  <c r="D41" i="2"/>
  <c r="H37" i="2"/>
  <c r="G87" i="2" a="1"/>
  <c r="G87" i="2" s="1"/>
  <c r="G90" i="2" a="1"/>
  <c r="G90" i="2" s="1"/>
  <c r="G89" i="2" a="1"/>
  <c r="G89" i="2" s="1"/>
  <c r="N23" i="6" l="1"/>
  <c r="I43" i="6"/>
  <c r="C38" i="2"/>
  <c r="G88" i="2" a="1"/>
  <c r="G88" i="2" s="1"/>
  <c r="C93" i="2" a="1"/>
  <c r="C93" i="2" s="1"/>
  <c r="C39" i="2"/>
  <c r="O24" i="6" l="1"/>
  <c r="O27" i="6"/>
  <c r="C92" i="2" a="1"/>
  <c r="C92" i="2" s="1"/>
  <c r="C90" i="2" a="1"/>
  <c r="C90" i="2" s="1"/>
  <c r="C88" i="2" a="1"/>
  <c r="C88" i="2" s="1"/>
  <c r="C89" i="2" a="1"/>
  <c r="C89" i="2" s="1"/>
  <c r="C87" i="2" a="1"/>
  <c r="C87" i="2" s="1"/>
  <c r="C91" i="2" a="1"/>
  <c r="C91" i="2" s="1"/>
  <c r="I46" i="6" l="1"/>
  <c r="N26" i="6"/>
  <c r="J48" i="6" s="1"/>
  <c r="J47" i="6" l="1"/>
  <c r="I54" i="6" s="1"/>
  <c r="E30" i="6" s="1"/>
  <c r="J51" i="6"/>
  <c r="N29" i="6" l="1"/>
  <c r="I50" i="6"/>
  <c r="J55" i="6" s="1"/>
  <c r="O30" i="6" l="1"/>
  <c r="O33" i="6"/>
  <c r="N32" i="6" s="1"/>
  <c r="D28" i="6" s="1"/>
  <c r="E31" i="6" l="1"/>
  <c r="E34" i="6"/>
  <c r="D33" i="6" l="1"/>
  <c r="E38" i="6" s="1"/>
  <c r="N35" i="6"/>
  <c r="O36" i="6" l="1"/>
  <c r="O39" i="6"/>
  <c r="I57" i="6" l="1"/>
  <c r="N38" i="6"/>
  <c r="N88" i="6" l="1" a="1"/>
  <c r="N88" i="6" s="1"/>
  <c r="N89" i="6" a="1"/>
  <c r="N89" i="6" s="1"/>
  <c r="N87" i="6" a="1"/>
  <c r="N87" i="6" s="1"/>
  <c r="N91" i="6" s="1"/>
  <c r="J58" i="6"/>
  <c r="I60" i="6" s="1"/>
  <c r="J61" i="6"/>
  <c r="D36" i="6" s="1"/>
  <c r="E37" i="6" l="1"/>
  <c r="D92" i="6" a="1"/>
  <c r="D92" i="6" s="1"/>
  <c r="D91" i="6" a="1"/>
  <c r="D91" i="6" s="1"/>
  <c r="D89" i="6" a="1"/>
  <c r="D89" i="6" s="1"/>
  <c r="D88" i="6" a="1"/>
  <c r="D88" i="6" s="1"/>
  <c r="D90" i="6" a="1"/>
  <c r="D90" i="6" s="1"/>
  <c r="D87" i="6" a="1"/>
  <c r="D87" i="6" s="1"/>
  <c r="I87" i="6" a="1"/>
  <c r="I87" i="6" s="1"/>
  <c r="I88" i="6" a="1"/>
  <c r="I88" i="6" s="1"/>
  <c r="I90" i="6" a="1"/>
  <c r="I90" i="6" s="1"/>
  <c r="I89" i="6" a="1"/>
  <c r="I89" i="6" s="1"/>
  <c r="I92" i="6" l="1"/>
  <c r="D9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<sst xmlns="http://schemas.openxmlformats.org/spreadsheetml/2006/main" count="245" uniqueCount="11">
  <si>
    <t>Cash</t>
  </si>
  <si>
    <t>Employment Income</t>
  </si>
  <si>
    <t>Net Transfers - USD</t>
  </si>
  <si>
    <t>Net Transfers - CAD</t>
  </si>
  <si>
    <t>Inventory</t>
  </si>
  <si>
    <t>Net Transfers - Oranges</t>
  </si>
  <si>
    <t>Profit</t>
  </si>
  <si>
    <t>FX Capital Gains</t>
  </si>
  <si>
    <t>FX Capital Losses</t>
  </si>
  <si>
    <t>Capital Loss</t>
  </si>
  <si>
    <t>Capital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</si>
</sst>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 indent="2"/>
    </xf>
    <xf numFmtId="0" fontId="0" fillId="0" borderId="0" xfId="0" applyAlignment="1">
      <alignment horizontal="left"/>
    </xf>
    <xf numFmtId="44" fontId="0" fillId="0" borderId="0" xfId="2" applyFont="1"/>
    <xf numFmtId="44" fontId="0" fillId="0" borderId="0" xfId="0" applyNumberFormat="1"/>
    <xf numFmtId="43" fontId="0" fillId="0" borderId="0" xfId="1" applyFont="1"/>
    <xf numFmtId="44" fontId="2" fillId="0" borderId="0" xfId="2" applyFont="1"/>
    <xf numFmtId="43" fontId="2" fillId="0" borderId="0" xfId="1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BEBE-AFE5-46E5-8784-C10A84871D37}">
  <dimension ref="B2:R93"/>
  <sheetViews>
    <sheetView topLeftCell="A58" workbookViewId="0">
      <selection activeCell="L50" sqref="L50"/>
    </sheetView>
  </sheetViews>
  <sheetFormatPr defaultRowHeight="15" x14ac:dyDescent="0.25"/>
  <cols>
    <col min="2" max="2" width="38.28515625" customWidth="1"/>
    <col min="3" max="4" width="11.42578125" style="3" customWidth="1"/>
    <col min="6" max="6" width="38.28515625" customWidth="1"/>
    <col min="7" max="8" width="11.42578125" style="3" customWidth="1"/>
    <col min="10" max="10" width="38.28515625" customWidth="1"/>
    <col min="11" max="12" width="11.42578125" style="5" customWidth="1"/>
    <col min="18" max="18" width="11.28515625" customWidth="1"/>
  </cols>
  <sheetData>
    <row r="2" spans="2:17" x14ac:dyDescent="0.25">
      <c r="B2" t="s">
        <v>0</v>
      </c>
      <c r="C2" s="3">
        <v>1000</v>
      </c>
      <c r="F2" t="s">
        <v>0</v>
      </c>
      <c r="G2" s="3">
        <f>C5*0.75</f>
        <v>750</v>
      </c>
      <c r="J2" t="s">
        <v>4</v>
      </c>
      <c r="K2" s="5">
        <f>G5/0.25</f>
        <v>3000</v>
      </c>
    </row>
    <row r="3" spans="2:17" x14ac:dyDescent="0.25">
      <c r="B3" s="1" t="s">
        <v>1</v>
      </c>
      <c r="D3" s="3">
        <f>C2</f>
        <v>1000</v>
      </c>
      <c r="F3" s="1" t="s">
        <v>3</v>
      </c>
      <c r="H3" s="3">
        <f>G2</f>
        <v>750</v>
      </c>
      <c r="J3" s="1" t="s">
        <v>3</v>
      </c>
      <c r="L3" s="5">
        <f>K2</f>
        <v>3000</v>
      </c>
    </row>
    <row r="5" spans="2:17" x14ac:dyDescent="0.25">
      <c r="B5" t="s">
        <v>2</v>
      </c>
      <c r="C5" s="3">
        <v>1000</v>
      </c>
      <c r="F5" t="s">
        <v>3</v>
      </c>
      <c r="G5" s="3">
        <v>750</v>
      </c>
      <c r="J5" t="s">
        <v>3</v>
      </c>
      <c r="K5" s="5">
        <f>K2/2</f>
        <v>1500</v>
      </c>
    </row>
    <row r="6" spans="2:17" x14ac:dyDescent="0.25">
      <c r="B6" s="1" t="s">
        <v>0</v>
      </c>
      <c r="D6" s="3">
        <f>C5</f>
        <v>1000</v>
      </c>
      <c r="F6" s="1" t="s">
        <v>0</v>
      </c>
      <c r="H6" s="3">
        <f>G5</f>
        <v>750</v>
      </c>
      <c r="J6" s="1" t="s">
        <v>4</v>
      </c>
      <c r="L6" s="5">
        <f>K5</f>
        <v>1500</v>
      </c>
      <c r="P6" s="4"/>
    </row>
    <row r="8" spans="2:17" x14ac:dyDescent="0.25">
      <c r="B8" t="s">
        <v>5</v>
      </c>
      <c r="C8" s="3">
        <f>C5</f>
        <v>1000</v>
      </c>
      <c r="F8" t="s">
        <v>0</v>
      </c>
      <c r="G8" s="3">
        <f>K8*0.35</f>
        <v>525</v>
      </c>
      <c r="J8" t="s">
        <v>3</v>
      </c>
      <c r="K8" s="5">
        <f>K2-K5</f>
        <v>1500</v>
      </c>
    </row>
    <row r="9" spans="2:17" x14ac:dyDescent="0.25">
      <c r="B9" s="1" t="s">
        <v>2</v>
      </c>
      <c r="D9" s="3">
        <f>C8</f>
        <v>1000</v>
      </c>
      <c r="F9" s="1" t="s">
        <v>6</v>
      </c>
      <c r="H9" s="3">
        <f>G8-H10</f>
        <v>150</v>
      </c>
      <c r="J9" s="1" t="s">
        <v>4</v>
      </c>
      <c r="L9" s="5">
        <f>K8</f>
        <v>1500</v>
      </c>
    </row>
    <row r="10" spans="2:17" x14ac:dyDescent="0.25">
      <c r="F10" s="1" t="s">
        <v>3</v>
      </c>
      <c r="H10" s="3">
        <f>G5/2</f>
        <v>375</v>
      </c>
    </row>
    <row r="11" spans="2:17" x14ac:dyDescent="0.25">
      <c r="B11" t="s">
        <v>0</v>
      </c>
      <c r="C11" s="3">
        <f>K5*0.45</f>
        <v>675</v>
      </c>
      <c r="J11" t="s">
        <v>4</v>
      </c>
      <c r="K11" s="5">
        <f>G19/0.275</f>
        <v>3756.8181818181815</v>
      </c>
    </row>
    <row r="12" spans="2:17" x14ac:dyDescent="0.25">
      <c r="B12" s="1" t="s">
        <v>6</v>
      </c>
      <c r="D12" s="3">
        <f>C11-D13</f>
        <v>175</v>
      </c>
      <c r="F12" t="s">
        <v>3</v>
      </c>
      <c r="G12" s="3">
        <f>H10</f>
        <v>375</v>
      </c>
      <c r="J12" s="1" t="s">
        <v>3</v>
      </c>
      <c r="L12" s="5">
        <f>K11</f>
        <v>3756.8181818181815</v>
      </c>
    </row>
    <row r="13" spans="2:17" x14ac:dyDescent="0.25">
      <c r="B13" s="1" t="s">
        <v>5</v>
      </c>
      <c r="D13" s="3">
        <f>C8/2</f>
        <v>500</v>
      </c>
      <c r="F13" t="s">
        <v>6</v>
      </c>
      <c r="G13" s="3">
        <f>H9</f>
        <v>150</v>
      </c>
      <c r="Q13" s="4"/>
    </row>
    <row r="14" spans="2:17" x14ac:dyDescent="0.25">
      <c r="F14" s="1" t="s">
        <v>0</v>
      </c>
      <c r="H14" s="3">
        <f>SUM(G12:G13)</f>
        <v>525</v>
      </c>
      <c r="J14" t="s">
        <v>3</v>
      </c>
      <c r="K14" s="5">
        <f>K11</f>
        <v>3756.8181818181815</v>
      </c>
    </row>
    <row r="15" spans="2:17" x14ac:dyDescent="0.25">
      <c r="B15" t="s">
        <v>2</v>
      </c>
      <c r="C15" s="3">
        <f>C8/2</f>
        <v>500</v>
      </c>
      <c r="J15" s="1" t="s">
        <v>4</v>
      </c>
      <c r="L15" s="5">
        <f>K14</f>
        <v>3756.8181818181815</v>
      </c>
    </row>
    <row r="16" spans="2:17" x14ac:dyDescent="0.25">
      <c r="B16" s="1" t="s">
        <v>5</v>
      </c>
      <c r="D16" s="3">
        <f>C15</f>
        <v>500</v>
      </c>
      <c r="F16" t="s">
        <v>0</v>
      </c>
      <c r="G16" s="3">
        <f>D24*0.725</f>
        <v>1033.125</v>
      </c>
    </row>
    <row r="17" spans="2:18" x14ac:dyDescent="0.25">
      <c r="F17" s="1" t="s">
        <v>3</v>
      </c>
      <c r="H17" s="3">
        <f>G16</f>
        <v>1033.125</v>
      </c>
      <c r="J17" t="s">
        <v>4</v>
      </c>
      <c r="K17" s="5">
        <f>H28/0.25</f>
        <v>6010.909090909091</v>
      </c>
    </row>
    <row r="18" spans="2:18" x14ac:dyDescent="0.25">
      <c r="B18" t="s">
        <v>0</v>
      </c>
      <c r="C18" s="3">
        <f>H14/0.7</f>
        <v>750</v>
      </c>
      <c r="J18" s="1" t="s">
        <v>3</v>
      </c>
      <c r="L18" s="5">
        <f>(G26/H28)*K17</f>
        <v>4132.5</v>
      </c>
    </row>
    <row r="19" spans="2:18" x14ac:dyDescent="0.25">
      <c r="B19" s="1" t="s">
        <v>2</v>
      </c>
      <c r="D19" s="3">
        <f>G12/0.75</f>
        <v>500</v>
      </c>
      <c r="F19" t="s">
        <v>3</v>
      </c>
      <c r="G19" s="3">
        <f>G16</f>
        <v>1033.125</v>
      </c>
      <c r="J19" s="1" t="s">
        <v>2</v>
      </c>
      <c r="L19" s="5">
        <f>(G27/H28)*K17</f>
        <v>1878.409090909091</v>
      </c>
    </row>
    <row r="20" spans="2:18" x14ac:dyDescent="0.25">
      <c r="B20" s="1" t="s">
        <v>6</v>
      </c>
      <c r="D20" s="3">
        <f>G13/0.75</f>
        <v>200</v>
      </c>
      <c r="F20" s="1" t="s">
        <v>0</v>
      </c>
      <c r="H20" s="3">
        <f>G19</f>
        <v>1033.125</v>
      </c>
    </row>
    <row r="21" spans="2:18" x14ac:dyDescent="0.25">
      <c r="B21" s="1" t="s">
        <v>7</v>
      </c>
      <c r="D21" s="3">
        <f>C18-SUM(D19:D20)</f>
        <v>50</v>
      </c>
      <c r="J21" t="s">
        <v>3</v>
      </c>
      <c r="K21" s="5">
        <f>L18</f>
        <v>4132.5</v>
      </c>
    </row>
    <row r="22" spans="2:18" x14ac:dyDescent="0.25">
      <c r="F22" t="s">
        <v>0</v>
      </c>
      <c r="G22" s="3">
        <f>K14*0.4</f>
        <v>1502.7272727272727</v>
      </c>
      <c r="J22" t="s">
        <v>2</v>
      </c>
      <c r="K22" s="5">
        <f>L19</f>
        <v>1878.409090909091</v>
      </c>
    </row>
    <row r="23" spans="2:18" x14ac:dyDescent="0.25">
      <c r="B23" s="2" t="s">
        <v>2</v>
      </c>
      <c r="C23" s="3">
        <f>C2-D6+C11+C18</f>
        <v>1425</v>
      </c>
      <c r="F23" s="1" t="s">
        <v>6</v>
      </c>
      <c r="H23" s="3">
        <f>G22-H24</f>
        <v>469.60227272727275</v>
      </c>
      <c r="J23" s="1" t="s">
        <v>4</v>
      </c>
      <c r="L23" s="5">
        <f>K17</f>
        <v>6010.909090909091</v>
      </c>
    </row>
    <row r="24" spans="2:18" x14ac:dyDescent="0.25">
      <c r="B24" s="1" t="s">
        <v>0</v>
      </c>
      <c r="D24" s="3">
        <f>C23</f>
        <v>1425</v>
      </c>
      <c r="F24" s="1" t="s">
        <v>3</v>
      </c>
      <c r="H24" s="3">
        <f>G16</f>
        <v>1033.125</v>
      </c>
    </row>
    <row r="25" spans="2:18" x14ac:dyDescent="0.25">
      <c r="J25" t="s">
        <v>4</v>
      </c>
      <c r="K25" s="5">
        <f>G42/0.3</f>
        <v>7756.0117302052795</v>
      </c>
      <c r="R25" s="4"/>
    </row>
    <row r="26" spans="2:18" x14ac:dyDescent="0.25">
      <c r="B26" t="s">
        <v>5</v>
      </c>
      <c r="C26" s="3">
        <f>C23</f>
        <v>1425</v>
      </c>
      <c r="F26" t="s">
        <v>3</v>
      </c>
      <c r="G26" s="3">
        <f>H24</f>
        <v>1033.125</v>
      </c>
      <c r="J26" s="1" t="s">
        <v>3</v>
      </c>
      <c r="L26" s="5">
        <f>K25</f>
        <v>7756.0117302052795</v>
      </c>
      <c r="R26" s="4"/>
    </row>
    <row r="27" spans="2:18" x14ac:dyDescent="0.25">
      <c r="B27" s="1" t="s">
        <v>2</v>
      </c>
      <c r="D27" s="3">
        <f>C26</f>
        <v>1425</v>
      </c>
      <c r="F27" t="s">
        <v>5</v>
      </c>
      <c r="G27" s="3">
        <f>H28-G26</f>
        <v>469.60227272727275</v>
      </c>
    </row>
    <row r="28" spans="2:18" x14ac:dyDescent="0.25">
      <c r="F28" s="1" t="s">
        <v>0</v>
      </c>
      <c r="H28" s="3">
        <f>G22</f>
        <v>1502.7272727272727</v>
      </c>
      <c r="J28" t="s">
        <v>3</v>
      </c>
      <c r="K28" s="5">
        <f>L26</f>
        <v>7756.0117302052795</v>
      </c>
    </row>
    <row r="29" spans="2:18" x14ac:dyDescent="0.25">
      <c r="B29" t="s">
        <v>2</v>
      </c>
      <c r="C29" s="3">
        <f>C26</f>
        <v>1425</v>
      </c>
      <c r="J29" s="1" t="s">
        <v>4</v>
      </c>
      <c r="L29" s="5">
        <f>K28</f>
        <v>7756.0117302052795</v>
      </c>
    </row>
    <row r="30" spans="2:18" x14ac:dyDescent="0.25">
      <c r="B30" s="1" t="s">
        <v>5</v>
      </c>
      <c r="D30" s="3">
        <f>C29</f>
        <v>1425</v>
      </c>
      <c r="F30" t="s">
        <v>0</v>
      </c>
      <c r="G30" s="3">
        <f>L23*0.4</f>
        <v>2404.3636363636365</v>
      </c>
    </row>
    <row r="31" spans="2:18" x14ac:dyDescent="0.25">
      <c r="F31" s="1" t="s">
        <v>3</v>
      </c>
      <c r="H31" s="3">
        <f>G26</f>
        <v>1033.125</v>
      </c>
      <c r="J31" t="s">
        <v>4</v>
      </c>
      <c r="K31" s="5">
        <f>H51/0.275</f>
        <v>11281.471607571315</v>
      </c>
    </row>
    <row r="32" spans="2:18" x14ac:dyDescent="0.25">
      <c r="B32" t="s">
        <v>5</v>
      </c>
      <c r="C32" s="3">
        <f>C29</f>
        <v>1425</v>
      </c>
      <c r="F32" s="1" t="s">
        <v>5</v>
      </c>
      <c r="H32" s="3">
        <f>G27</f>
        <v>469.60227272727275</v>
      </c>
      <c r="J32" s="1" t="s">
        <v>3</v>
      </c>
      <c r="L32" s="5">
        <f>(G49/H51)*K31</f>
        <v>8461.1037056784844</v>
      </c>
    </row>
    <row r="33" spans="2:12" x14ac:dyDescent="0.25">
      <c r="B33" s="1" t="s">
        <v>2</v>
      </c>
      <c r="D33" s="3">
        <f>C32</f>
        <v>1425</v>
      </c>
      <c r="F33" s="1" t="s">
        <v>6</v>
      </c>
      <c r="H33" s="3">
        <f>G30-SUM(H31:H32)</f>
        <v>901.63636363636374</v>
      </c>
      <c r="J33" s="1" t="s">
        <v>2</v>
      </c>
      <c r="L33" s="5">
        <f>K31-L32</f>
        <v>2820.3679018928306</v>
      </c>
    </row>
    <row r="35" spans="2:12" x14ac:dyDescent="0.25">
      <c r="B35" t="s">
        <v>2</v>
      </c>
      <c r="C35" s="3">
        <f>C32</f>
        <v>1425</v>
      </c>
      <c r="F35" s="2" t="s">
        <v>3</v>
      </c>
      <c r="G35" s="3">
        <f>H31</f>
        <v>1033.125</v>
      </c>
      <c r="J35" t="s">
        <v>3</v>
      </c>
      <c r="K35" s="5">
        <f>L32</f>
        <v>8461.1037056784844</v>
      </c>
    </row>
    <row r="36" spans="2:12" x14ac:dyDescent="0.25">
      <c r="B36" s="1" t="s">
        <v>5</v>
      </c>
      <c r="D36" s="3">
        <f>C35</f>
        <v>1425</v>
      </c>
      <c r="F36" s="2" t="s">
        <v>6</v>
      </c>
      <c r="G36" s="3">
        <f>H33+H23</f>
        <v>1371.2386363636365</v>
      </c>
      <c r="J36" t="s">
        <v>2</v>
      </c>
      <c r="K36" s="5">
        <f>L33</f>
        <v>2820.3679018928306</v>
      </c>
    </row>
    <row r="37" spans="2:12" x14ac:dyDescent="0.25">
      <c r="F37" s="1" t="s">
        <v>0</v>
      </c>
      <c r="H37" s="3">
        <f>SUM(G35:G36)</f>
        <v>2404.3636363636365</v>
      </c>
      <c r="J37" s="1" t="s">
        <v>4</v>
      </c>
      <c r="L37" s="5">
        <f>SUM(K35:K36)</f>
        <v>11281.471607571315</v>
      </c>
    </row>
    <row r="38" spans="2:12" x14ac:dyDescent="0.25">
      <c r="B38" t="s">
        <v>0</v>
      </c>
      <c r="C38" s="3">
        <f>H37/0.775</f>
        <v>3102.4046920821115</v>
      </c>
    </row>
    <row r="39" spans="2:12" x14ac:dyDescent="0.25">
      <c r="B39" s="2" t="s">
        <v>8</v>
      </c>
      <c r="C39" s="3">
        <f>SUM(D40:D41)-C38</f>
        <v>213.95894428152496</v>
      </c>
      <c r="F39" t="s">
        <v>0</v>
      </c>
      <c r="G39" s="3">
        <f>D44*0.75</f>
        <v>2326.8035190615838</v>
      </c>
      <c r="J39" t="s">
        <v>4</v>
      </c>
      <c r="K39" s="5">
        <f>C60/0.4</f>
        <v>14101.839509464144</v>
      </c>
    </row>
    <row r="40" spans="2:12" x14ac:dyDescent="0.25">
      <c r="B40" s="1" t="s">
        <v>2</v>
      </c>
      <c r="D40" s="3">
        <f>G35/0.725</f>
        <v>1425</v>
      </c>
      <c r="F40" s="1" t="s">
        <v>3</v>
      </c>
      <c r="H40" s="3">
        <f>G39</f>
        <v>2326.8035190615838</v>
      </c>
      <c r="J40" s="1" t="s">
        <v>3</v>
      </c>
      <c r="L40" s="5">
        <f>K39</f>
        <v>14101.839509464144</v>
      </c>
    </row>
    <row r="41" spans="2:12" x14ac:dyDescent="0.25">
      <c r="B41" s="1" t="s">
        <v>6</v>
      </c>
      <c r="D41" s="3">
        <f>G36/0.725</f>
        <v>1891.3636363636365</v>
      </c>
    </row>
    <row r="42" spans="2:12" x14ac:dyDescent="0.25">
      <c r="F42" t="s">
        <v>3</v>
      </c>
      <c r="G42" s="3">
        <f>H40</f>
        <v>2326.8035190615838</v>
      </c>
      <c r="J42" t="s">
        <v>3</v>
      </c>
      <c r="K42" s="5">
        <f>K39</f>
        <v>14101.839509464144</v>
      </c>
    </row>
    <row r="43" spans="2:12" x14ac:dyDescent="0.25">
      <c r="B43" t="s">
        <v>2</v>
      </c>
      <c r="C43" s="3">
        <f>C38</f>
        <v>3102.4046920821115</v>
      </c>
      <c r="F43" s="1" t="s">
        <v>0</v>
      </c>
      <c r="H43" s="3">
        <f>G42</f>
        <v>2326.8035190615838</v>
      </c>
      <c r="J43" s="1" t="s">
        <v>4</v>
      </c>
      <c r="L43" s="5">
        <f>K42</f>
        <v>14101.839509464144</v>
      </c>
    </row>
    <row r="44" spans="2:12" x14ac:dyDescent="0.25">
      <c r="B44" s="1" t="s">
        <v>0</v>
      </c>
      <c r="D44" s="3">
        <f>C43</f>
        <v>3102.4046920821115</v>
      </c>
    </row>
    <row r="45" spans="2:12" x14ac:dyDescent="0.25">
      <c r="F45" t="s">
        <v>0</v>
      </c>
      <c r="G45" s="3">
        <f>K28*0.4</f>
        <v>3102.404692082112</v>
      </c>
    </row>
    <row r="46" spans="2:12" x14ac:dyDescent="0.25">
      <c r="B46" t="s">
        <v>5</v>
      </c>
      <c r="C46" s="3">
        <f>C43</f>
        <v>3102.4046920821115</v>
      </c>
      <c r="F46" s="1" t="s">
        <v>6</v>
      </c>
      <c r="H46" s="3">
        <f>G45-H47</f>
        <v>775.60117302052822</v>
      </c>
    </row>
    <row r="47" spans="2:12" x14ac:dyDescent="0.25">
      <c r="B47" s="1" t="s">
        <v>2</v>
      </c>
      <c r="D47" s="3">
        <f>C46</f>
        <v>3102.4046920821115</v>
      </c>
      <c r="F47" s="1" t="s">
        <v>3</v>
      </c>
      <c r="H47" s="3">
        <f>G42</f>
        <v>2326.8035190615838</v>
      </c>
    </row>
    <row r="49" spans="2:8" x14ac:dyDescent="0.25">
      <c r="B49" t="s">
        <v>2</v>
      </c>
      <c r="C49" s="3">
        <f>D47</f>
        <v>3102.4046920821115</v>
      </c>
      <c r="F49" t="s">
        <v>3</v>
      </c>
      <c r="G49" s="3">
        <f>H47</f>
        <v>2326.8035190615838</v>
      </c>
    </row>
    <row r="50" spans="2:8" x14ac:dyDescent="0.25">
      <c r="B50" s="1" t="s">
        <v>5</v>
      </c>
      <c r="D50" s="3">
        <f>C49</f>
        <v>3102.4046920821115</v>
      </c>
      <c r="F50" t="s">
        <v>5</v>
      </c>
      <c r="G50" s="3">
        <f>H46</f>
        <v>775.60117302052822</v>
      </c>
    </row>
    <row r="51" spans="2:8" x14ac:dyDescent="0.25">
      <c r="F51" s="1" t="s">
        <v>0</v>
      </c>
      <c r="H51" s="3">
        <f>SUM(G49:G50)</f>
        <v>3102.404692082112</v>
      </c>
    </row>
    <row r="52" spans="2:8" x14ac:dyDescent="0.25">
      <c r="B52" t="s">
        <v>5</v>
      </c>
      <c r="C52" s="3">
        <f>C49</f>
        <v>3102.4046920821115</v>
      </c>
    </row>
    <row r="53" spans="2:8" x14ac:dyDescent="0.25">
      <c r="B53" s="1" t="s">
        <v>2</v>
      </c>
      <c r="D53" s="3">
        <f>C52</f>
        <v>3102.4046920821115</v>
      </c>
      <c r="F53" t="s">
        <v>6</v>
      </c>
      <c r="G53" s="3">
        <f>G50</f>
        <v>775.60117302052822</v>
      </c>
    </row>
    <row r="54" spans="2:8" x14ac:dyDescent="0.25">
      <c r="F54" s="1" t="s">
        <v>5</v>
      </c>
      <c r="H54" s="3">
        <f>G53</f>
        <v>775.60117302052822</v>
      </c>
    </row>
    <row r="55" spans="2:8" x14ac:dyDescent="0.25">
      <c r="B55" t="s">
        <v>0</v>
      </c>
      <c r="C55" s="3">
        <f>L37*0.5</f>
        <v>5640.7358037856575</v>
      </c>
    </row>
    <row r="56" spans="2:8" x14ac:dyDescent="0.25">
      <c r="B56" s="1" t="s">
        <v>5</v>
      </c>
      <c r="D56" s="3">
        <f>C52</f>
        <v>3102.4046920821115</v>
      </c>
      <c r="F56" t="s">
        <v>0</v>
      </c>
      <c r="G56" s="3">
        <f>K42*0.4</f>
        <v>5640.7358037856575</v>
      </c>
    </row>
    <row r="57" spans="2:8" x14ac:dyDescent="0.25">
      <c r="B57" s="1" t="s">
        <v>6</v>
      </c>
      <c r="D57" s="3">
        <f>G53/0.75</f>
        <v>1034.1348973607044</v>
      </c>
      <c r="F57" s="1" t="s">
        <v>3</v>
      </c>
      <c r="H57" s="3">
        <f>G56</f>
        <v>5640.7358037856575</v>
      </c>
    </row>
    <row r="58" spans="2:8" x14ac:dyDescent="0.25">
      <c r="B58" s="1" t="s">
        <v>6</v>
      </c>
      <c r="D58" s="3">
        <f>C55-SUM(D56:D57)</f>
        <v>1504.1962143428418</v>
      </c>
    </row>
    <row r="59" spans="2:8" x14ac:dyDescent="0.25">
      <c r="F59" t="s">
        <v>3</v>
      </c>
      <c r="G59" s="3">
        <f>H57</f>
        <v>5640.7358037856575</v>
      </c>
    </row>
    <row r="60" spans="2:8" x14ac:dyDescent="0.25">
      <c r="B60" s="2" t="s">
        <v>5</v>
      </c>
      <c r="C60" s="3">
        <f>C55</f>
        <v>5640.7358037856575</v>
      </c>
      <c r="F60" s="1" t="s">
        <v>0</v>
      </c>
      <c r="H60" s="3">
        <f>G59</f>
        <v>5640.7358037856575</v>
      </c>
    </row>
    <row r="61" spans="2:8" x14ac:dyDescent="0.25">
      <c r="B61" s="1" t="s">
        <v>0</v>
      </c>
      <c r="D61" s="3">
        <f>C60</f>
        <v>5640.7358037856575</v>
      </c>
    </row>
    <row r="63" spans="2:8" x14ac:dyDescent="0.25">
      <c r="B63" t="s">
        <v>2</v>
      </c>
      <c r="C63" s="3">
        <f>C60</f>
        <v>5640.7358037856575</v>
      </c>
    </row>
    <row r="64" spans="2:8" x14ac:dyDescent="0.25">
      <c r="B64" s="1" t="s">
        <v>5</v>
      </c>
      <c r="D64" s="3">
        <f>C63</f>
        <v>5640.7358037856575</v>
      </c>
    </row>
    <row r="66" spans="2:4" x14ac:dyDescent="0.25">
      <c r="B66" t="s">
        <v>0</v>
      </c>
      <c r="C66" s="3">
        <f>G59/0.725</f>
        <v>7780.3252466009071</v>
      </c>
    </row>
    <row r="67" spans="2:4" x14ac:dyDescent="0.25">
      <c r="B67" s="1" t="s">
        <v>6</v>
      </c>
      <c r="D67" s="3">
        <f>C66-D68</f>
        <v>2139.5894428152496</v>
      </c>
    </row>
    <row r="68" spans="2:4" x14ac:dyDescent="0.25">
      <c r="B68" s="1" t="s">
        <v>2</v>
      </c>
      <c r="D68" s="3">
        <f>C63</f>
        <v>5640.7358037856575</v>
      </c>
    </row>
    <row r="87" spans="2:11" x14ac:dyDescent="0.25">
      <c r="B87" t="s">
        <v>0</v>
      </c>
      <c r="C87" s="3" cm="1">
        <f t="array" ref="C87">SUMPRODUCT(--(B$2:B$86=B87),C$2:C$86-D$2:D$86)</f>
        <v>7780.3252466009071</v>
      </c>
      <c r="F87" t="s">
        <v>0</v>
      </c>
      <c r="G87" s="3" cm="1">
        <f t="array" ref="G87">SUMPRODUCT(--(F$2:F$86=F87),G$2:G$86-H$2:H$86)</f>
        <v>0</v>
      </c>
      <c r="J87" t="s">
        <v>4</v>
      </c>
      <c r="K87" s="3" cm="1">
        <f t="array" ref="K87">SUMPRODUCT(--(J$2:J$86=J87),K$2:K$86-L$2:L$86)</f>
        <v>0</v>
      </c>
    </row>
    <row r="88" spans="2:11" x14ac:dyDescent="0.25">
      <c r="B88" t="s">
        <v>1</v>
      </c>
      <c r="C88" s="3" cm="1">
        <f t="array" ref="C88">SUMPRODUCT(--(B$2:B$86=B88),C$2:C$86-D$2:D$86)</f>
        <v>-1000</v>
      </c>
      <c r="F88" t="s">
        <v>3</v>
      </c>
      <c r="G88" s="3" cm="1">
        <f t="array" ref="G88">SUMPRODUCT(--(F$2:F$86=F88),G$2:G$86-H$2:H$86)</f>
        <v>0</v>
      </c>
      <c r="J88" t="s">
        <v>3</v>
      </c>
      <c r="K88" s="3" cm="1">
        <f t="array" ref="K88">SUMPRODUCT(--(J$2:J$86=J88),K$2:K$86-L$2:L$86)</f>
        <v>0</v>
      </c>
    </row>
    <row r="89" spans="2:11" x14ac:dyDescent="0.25">
      <c r="B89" t="s">
        <v>2</v>
      </c>
      <c r="C89" s="3" cm="1">
        <f t="array" ref="C89">SUMPRODUCT(--(B$2:B$86=B89),C$2:C$86-D$2:D$86)</f>
        <v>0</v>
      </c>
      <c r="F89" t="s">
        <v>5</v>
      </c>
      <c r="G89" s="3" cm="1">
        <f t="array" ref="G89">SUMPRODUCT(--(F$2:F$86=F89),G$2:G$86-H$2:H$86)</f>
        <v>0</v>
      </c>
      <c r="J89" t="s">
        <v>2</v>
      </c>
      <c r="K89" s="3" cm="1">
        <f t="array" ref="K89">SUMPRODUCT(--(J$2:J$86=J89),K$2:K$86-L$2:L$86)</f>
        <v>0</v>
      </c>
    </row>
    <row r="90" spans="2:11" x14ac:dyDescent="0.25">
      <c r="B90" t="s">
        <v>5</v>
      </c>
      <c r="C90" s="3" cm="1">
        <f t="array" ref="C90">SUMPRODUCT(--(B$2:B$86=B90),C$2:C$86-D$2:D$86)</f>
        <v>0</v>
      </c>
      <c r="F90" t="s">
        <v>6</v>
      </c>
      <c r="G90" s="3" cm="1">
        <f t="array" ref="G90">SUMPRODUCT(--(F$2:F$86=F90),G$2:G$86-H$2:H$86)</f>
        <v>0</v>
      </c>
    </row>
    <row r="91" spans="2:11" x14ac:dyDescent="0.25">
      <c r="B91" t="s">
        <v>6</v>
      </c>
      <c r="C91" s="3" cm="1">
        <f t="array" ref="C91">SUMPRODUCT(--(B$2:B$86=B91),C$2:C$86-D$2:D$86)</f>
        <v>-6944.2841908824321</v>
      </c>
    </row>
    <row r="92" spans="2:11" x14ac:dyDescent="0.25">
      <c r="B92" t="s">
        <v>7</v>
      </c>
      <c r="C92" s="3" cm="1">
        <f t="array" ref="C92">SUMPRODUCT(--(B$2:B$86=B92),C$2:C$86-D$2:D$86)</f>
        <v>-50</v>
      </c>
    </row>
    <row r="93" spans="2:11" x14ac:dyDescent="0.25">
      <c r="B93" t="s">
        <v>8</v>
      </c>
      <c r="C93" s="3" cm="1">
        <f t="array" ref="C93">SUMPRODUCT(--(B$2:B$86=B93),C$2:C$86-D$2:D$86)</f>
        <v>213.95894428152496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64026-46B3-4C1E-A3D6-835EF438BE70}">
  <dimension ref="B2:O94"/>
  <sheetViews>
    <sheetView tabSelected="1" workbookViewId="0">
      <selection activeCell="I13" sqref="I13"/>
    </sheetView>
  </sheetViews>
  <sheetFormatPr defaultRowHeight="15" x14ac:dyDescent="0.25"/>
  <cols>
    <col min="2" max="2" width="4.5703125" customWidth="1"/>
    <col min="3" max="3" width="34.7109375" customWidth="1"/>
    <col min="4" max="5" width="13.85546875" style="3" customWidth="1"/>
    <col min="7" max="7" width="4.5703125" customWidth="1"/>
    <col min="8" max="8" width="34.7109375" customWidth="1"/>
    <col min="9" max="10" width="13.85546875" style="3" customWidth="1"/>
    <col min="12" max="12" width="4.5703125" customWidth="1"/>
    <col min="13" max="13" width="34.7109375" customWidth="1"/>
    <col min="14" max="15" width="13.85546875" style="5" customWidth="1"/>
  </cols>
  <sheetData>
    <row r="2" spans="2:15" x14ac:dyDescent="0.25">
      <c r="B2">
        <v>1</v>
      </c>
      <c r="C2" t="s">
        <v>0</v>
      </c>
      <c r="D2" s="3">
        <f>E3</f>
        <v>1000</v>
      </c>
      <c r="G2">
        <v>2</v>
      </c>
      <c r="H2" t="s">
        <v>0</v>
      </c>
      <c r="I2" s="3">
        <f>E6*0.75</f>
        <v>750</v>
      </c>
      <c r="L2">
        <v>3</v>
      </c>
      <c r="M2" t="s">
        <v>4</v>
      </c>
      <c r="N2" s="5">
        <f>I5/0.25</f>
        <v>3000</v>
      </c>
    </row>
    <row r="3" spans="2:15" x14ac:dyDescent="0.25">
      <c r="C3" s="1" t="s">
        <v>1</v>
      </c>
      <c r="E3" s="3">
        <v>1000</v>
      </c>
      <c r="H3" s="1" t="s">
        <v>3</v>
      </c>
      <c r="J3" s="3">
        <f>I2</f>
        <v>750</v>
      </c>
      <c r="M3" s="1" t="s">
        <v>2</v>
      </c>
      <c r="O3" s="5">
        <f>N2</f>
        <v>3000</v>
      </c>
    </row>
    <row r="5" spans="2:15" x14ac:dyDescent="0.25">
      <c r="B5">
        <v>2</v>
      </c>
      <c r="C5" t="s">
        <v>2</v>
      </c>
      <c r="D5" s="3">
        <f>E6</f>
        <v>1000</v>
      </c>
      <c r="G5">
        <v>3</v>
      </c>
      <c r="H5" t="s">
        <v>5</v>
      </c>
      <c r="I5" s="3">
        <f>J6</f>
        <v>750</v>
      </c>
      <c r="L5">
        <v>4</v>
      </c>
      <c r="M5" t="s">
        <v>2</v>
      </c>
      <c r="N5" s="5">
        <f>O6</f>
        <v>1500</v>
      </c>
    </row>
    <row r="6" spans="2:15" x14ac:dyDescent="0.25">
      <c r="C6" s="1" t="s">
        <v>0</v>
      </c>
      <c r="E6" s="3">
        <f>D2</f>
        <v>1000</v>
      </c>
      <c r="H6" s="1" t="s">
        <v>0</v>
      </c>
      <c r="J6" s="3">
        <f>I2</f>
        <v>750</v>
      </c>
      <c r="M6" s="1" t="s">
        <v>4</v>
      </c>
      <c r="O6" s="5">
        <f>N2/2</f>
        <v>1500</v>
      </c>
    </row>
    <row r="8" spans="2:15" x14ac:dyDescent="0.25">
      <c r="B8">
        <v>4</v>
      </c>
      <c r="C8" t="s">
        <v>0</v>
      </c>
      <c r="D8" s="3">
        <f>O6*0.45</f>
        <v>675</v>
      </c>
      <c r="G8">
        <v>4</v>
      </c>
      <c r="H8" t="s">
        <v>3</v>
      </c>
      <c r="I8" s="3">
        <f>J3/2</f>
        <v>375</v>
      </c>
      <c r="L8">
        <v>5</v>
      </c>
      <c r="M8" t="s">
        <v>2</v>
      </c>
      <c r="N8" s="5">
        <f>N2-O6</f>
        <v>1500</v>
      </c>
    </row>
    <row r="9" spans="2:15" x14ac:dyDescent="0.25">
      <c r="C9" s="1" t="s">
        <v>6</v>
      </c>
      <c r="E9" s="3">
        <f>D8-E10</f>
        <v>175</v>
      </c>
      <c r="H9" s="1" t="s">
        <v>5</v>
      </c>
      <c r="J9" s="3">
        <f>I5/2</f>
        <v>375</v>
      </c>
      <c r="M9" s="1" t="s">
        <v>4</v>
      </c>
      <c r="O9" s="5">
        <f>N8</f>
        <v>1500</v>
      </c>
    </row>
    <row r="10" spans="2:15" x14ac:dyDescent="0.25">
      <c r="C10" s="1" t="s">
        <v>2</v>
      </c>
      <c r="E10" s="3">
        <f>I8/(J3/D5)</f>
        <v>500</v>
      </c>
    </row>
    <row r="11" spans="2:15" x14ac:dyDescent="0.25">
      <c r="G11">
        <v>5</v>
      </c>
      <c r="H11" t="s">
        <v>0</v>
      </c>
      <c r="I11" s="3">
        <f>O9*0.35</f>
        <v>525</v>
      </c>
      <c r="L11">
        <v>8</v>
      </c>
      <c r="M11" t="s">
        <v>4</v>
      </c>
      <c r="N11" s="5">
        <f>O12</f>
        <v>3756.8181818181815</v>
      </c>
    </row>
    <row r="12" spans="2:15" x14ac:dyDescent="0.25">
      <c r="B12">
        <v>6</v>
      </c>
      <c r="C12" t="s">
        <v>0</v>
      </c>
      <c r="D12" s="3">
        <f>J17/0.7</f>
        <v>750</v>
      </c>
      <c r="H12" s="1" t="s">
        <v>6</v>
      </c>
      <c r="J12" s="3">
        <f>I11-J13</f>
        <v>150</v>
      </c>
      <c r="M12" s="1" t="s">
        <v>2</v>
      </c>
      <c r="O12" s="5">
        <f>I22/0.275</f>
        <v>3756.8181818181815</v>
      </c>
    </row>
    <row r="13" spans="2:15" x14ac:dyDescent="0.25">
      <c r="C13" s="1" t="s">
        <v>2</v>
      </c>
      <c r="E13" s="3">
        <f>I15/(J3/D5)</f>
        <v>500</v>
      </c>
      <c r="H13" s="1" t="s">
        <v>5</v>
      </c>
      <c r="J13" s="3">
        <f>I5/2</f>
        <v>375</v>
      </c>
    </row>
    <row r="14" spans="2:15" x14ac:dyDescent="0.25">
      <c r="C14" s="1" t="s">
        <v>6</v>
      </c>
      <c r="E14" s="3">
        <f>I16/(J3/D5)</f>
        <v>200</v>
      </c>
      <c r="L14">
        <v>9</v>
      </c>
      <c r="M14" t="s">
        <v>2</v>
      </c>
      <c r="N14" s="5">
        <f>O15</f>
        <v>3756.8181818181815</v>
      </c>
    </row>
    <row r="15" spans="2:15" x14ac:dyDescent="0.25">
      <c r="C15" s="1" t="s">
        <v>10</v>
      </c>
      <c r="E15" s="3">
        <f>D12-SUM(E13:E14)</f>
        <v>50</v>
      </c>
      <c r="G15">
        <v>6</v>
      </c>
      <c r="H15" t="s">
        <v>3</v>
      </c>
      <c r="I15" s="3">
        <f>J3-I8</f>
        <v>375</v>
      </c>
      <c r="M15" s="1" t="s">
        <v>4</v>
      </c>
      <c r="O15" s="5">
        <f>N11</f>
        <v>3756.8181818181815</v>
      </c>
    </row>
    <row r="16" spans="2:15" x14ac:dyDescent="0.25">
      <c r="H16" t="s">
        <v>6</v>
      </c>
      <c r="I16" s="3">
        <f>J12</f>
        <v>150</v>
      </c>
    </row>
    <row r="17" spans="2:15" x14ac:dyDescent="0.25">
      <c r="B17">
        <v>7</v>
      </c>
      <c r="C17" s="2" t="s">
        <v>2</v>
      </c>
      <c r="D17" s="3">
        <f>E18</f>
        <v>1425</v>
      </c>
      <c r="H17" s="1" t="s">
        <v>0</v>
      </c>
      <c r="J17" s="3">
        <f>I11</f>
        <v>525</v>
      </c>
      <c r="L17">
        <v>10</v>
      </c>
      <c r="M17" t="s">
        <v>4</v>
      </c>
      <c r="N17" s="5">
        <f>J30/0.25</f>
        <v>6010.909090909091</v>
      </c>
    </row>
    <row r="18" spans="2:15" x14ac:dyDescent="0.25">
      <c r="C18" s="1" t="s">
        <v>0</v>
      </c>
      <c r="E18" s="3">
        <f>D12+D8</f>
        <v>1425</v>
      </c>
      <c r="M18" s="1" t="s">
        <v>2</v>
      </c>
      <c r="O18" s="5">
        <f>N17</f>
        <v>6010.909090909091</v>
      </c>
    </row>
    <row r="19" spans="2:15" x14ac:dyDescent="0.25">
      <c r="G19">
        <v>7</v>
      </c>
      <c r="H19" t="s">
        <v>0</v>
      </c>
      <c r="I19" s="3">
        <f>J20</f>
        <v>1033.125</v>
      </c>
    </row>
    <row r="20" spans="2:15" x14ac:dyDescent="0.25">
      <c r="B20">
        <v>12</v>
      </c>
      <c r="C20" t="s">
        <v>0</v>
      </c>
      <c r="D20" s="3">
        <f>J38/0.775</f>
        <v>3102.4046920821115</v>
      </c>
      <c r="H20" s="1" t="s">
        <v>3</v>
      </c>
      <c r="J20" s="3">
        <f>D17*0.725</f>
        <v>1033.125</v>
      </c>
      <c r="L20">
        <v>11</v>
      </c>
      <c r="M20" t="s">
        <v>2</v>
      </c>
      <c r="N20" s="5">
        <f>O21</f>
        <v>6010.909090909091</v>
      </c>
    </row>
    <row r="21" spans="2:15" x14ac:dyDescent="0.25">
      <c r="C21" t="s">
        <v>9</v>
      </c>
      <c r="D21" s="3">
        <f>SUM(E22:E23)-D20</f>
        <v>213.95894428152496</v>
      </c>
      <c r="M21" s="1" t="s">
        <v>4</v>
      </c>
      <c r="O21" s="5">
        <f>N17</f>
        <v>6010.909090909091</v>
      </c>
    </row>
    <row r="22" spans="2:15" x14ac:dyDescent="0.25">
      <c r="C22" s="1" t="s">
        <v>2</v>
      </c>
      <c r="E22" s="3">
        <f>I36/(J20/D17)</f>
        <v>1425</v>
      </c>
      <c r="G22">
        <v>8</v>
      </c>
      <c r="H22" t="s">
        <v>5</v>
      </c>
      <c r="I22" s="3">
        <f>J23</f>
        <v>1033.125</v>
      </c>
    </row>
    <row r="23" spans="2:15" x14ac:dyDescent="0.25">
      <c r="C23" s="1" t="s">
        <v>6</v>
      </c>
      <c r="E23" s="3">
        <f>I37/(J20/D17)</f>
        <v>1891.3636363636365</v>
      </c>
      <c r="H23" s="1" t="s">
        <v>0</v>
      </c>
      <c r="J23" s="3">
        <f>I19</f>
        <v>1033.125</v>
      </c>
      <c r="L23">
        <v>14</v>
      </c>
      <c r="M23" t="s">
        <v>4</v>
      </c>
      <c r="N23" s="5">
        <f>J44/0.3</f>
        <v>7756.0117302052795</v>
      </c>
    </row>
    <row r="24" spans="2:15" x14ac:dyDescent="0.25">
      <c r="M24" s="1" t="s">
        <v>2</v>
      </c>
      <c r="O24" s="5">
        <f>N23</f>
        <v>7756.0117302052795</v>
      </c>
    </row>
    <row r="25" spans="2:15" x14ac:dyDescent="0.25">
      <c r="B25">
        <v>13</v>
      </c>
      <c r="C25" t="s">
        <v>2</v>
      </c>
      <c r="D25" s="3">
        <f>E26</f>
        <v>3102.4046920821115</v>
      </c>
      <c r="G25">
        <v>9</v>
      </c>
      <c r="H25" t="s">
        <v>0</v>
      </c>
      <c r="I25" s="3">
        <f>O15*0.4</f>
        <v>1502.7272727272727</v>
      </c>
    </row>
    <row r="26" spans="2:15" x14ac:dyDescent="0.25">
      <c r="C26" s="1" t="s">
        <v>0</v>
      </c>
      <c r="E26" s="3">
        <f>D20</f>
        <v>3102.4046920821115</v>
      </c>
      <c r="H26" s="1" t="s">
        <v>6</v>
      </c>
      <c r="J26" s="3">
        <f>I25-J27</f>
        <v>469.60227272727275</v>
      </c>
      <c r="L26">
        <v>15</v>
      </c>
      <c r="M26" t="s">
        <v>2</v>
      </c>
      <c r="N26" s="5">
        <f>O27</f>
        <v>7756.0117302052795</v>
      </c>
    </row>
    <row r="27" spans="2:15" x14ac:dyDescent="0.25">
      <c r="H27" s="1" t="s">
        <v>5</v>
      </c>
      <c r="J27" s="3">
        <f>O15/(N14/I22)</f>
        <v>1033.125</v>
      </c>
      <c r="M27" s="1" t="s">
        <v>4</v>
      </c>
      <c r="O27" s="5">
        <f>N23</f>
        <v>7756.0117302052795</v>
      </c>
    </row>
    <row r="28" spans="2:15" x14ac:dyDescent="0.25">
      <c r="B28">
        <v>17</v>
      </c>
      <c r="C28" t="s">
        <v>0</v>
      </c>
      <c r="D28" s="3">
        <f>N32*0.5</f>
        <v>5640.7358037856575</v>
      </c>
    </row>
    <row r="29" spans="2:15" x14ac:dyDescent="0.25">
      <c r="C29" s="1" t="s">
        <v>2</v>
      </c>
      <c r="E29" s="3">
        <f>I53/(J41/D25)</f>
        <v>3102.4046920821115</v>
      </c>
      <c r="G29">
        <v>10</v>
      </c>
      <c r="H29" t="s">
        <v>5</v>
      </c>
      <c r="I29" s="3">
        <f>J30</f>
        <v>1502.7272727272727</v>
      </c>
      <c r="L29">
        <v>16</v>
      </c>
      <c r="M29" t="s">
        <v>4</v>
      </c>
      <c r="N29" s="5">
        <f>J51/0.275</f>
        <v>11281.471607571315</v>
      </c>
    </row>
    <row r="30" spans="2:15" x14ac:dyDescent="0.25">
      <c r="C30" s="1" t="s">
        <v>6</v>
      </c>
      <c r="E30" s="3">
        <f>I54/(J41/D25)</f>
        <v>1034.1348973607044</v>
      </c>
      <c r="H30" s="1" t="s">
        <v>0</v>
      </c>
      <c r="J30" s="3">
        <f>I25</f>
        <v>1502.7272727272727</v>
      </c>
      <c r="M30" s="1" t="s">
        <v>2</v>
      </c>
      <c r="O30" s="5">
        <f>N29</f>
        <v>11281.471607571315</v>
      </c>
    </row>
    <row r="31" spans="2:15" x14ac:dyDescent="0.25">
      <c r="C31" s="1" t="s">
        <v>6</v>
      </c>
      <c r="E31" s="3">
        <f>D28-SUM(E29:E30)</f>
        <v>1504.1962143428418</v>
      </c>
    </row>
    <row r="32" spans="2:15" x14ac:dyDescent="0.25">
      <c r="G32">
        <v>11</v>
      </c>
      <c r="H32" t="s">
        <v>0</v>
      </c>
      <c r="I32" s="3">
        <f>O21*0.4</f>
        <v>2404.3636363636365</v>
      </c>
      <c r="L32">
        <v>17</v>
      </c>
      <c r="M32" t="s">
        <v>2</v>
      </c>
      <c r="N32" s="5">
        <f>O33</f>
        <v>11281.471607571315</v>
      </c>
    </row>
    <row r="33" spans="2:15" x14ac:dyDescent="0.25">
      <c r="B33">
        <v>18</v>
      </c>
      <c r="C33" s="2" t="s">
        <v>2</v>
      </c>
      <c r="D33" s="3">
        <f>E34</f>
        <v>5640.7358037856575</v>
      </c>
      <c r="H33" s="1" t="s">
        <v>5</v>
      </c>
      <c r="J33" s="3">
        <f>I29</f>
        <v>1502.7272727272727</v>
      </c>
      <c r="M33" s="1" t="s">
        <v>4</v>
      </c>
      <c r="O33" s="5">
        <f>N29</f>
        <v>11281.471607571315</v>
      </c>
    </row>
    <row r="34" spans="2:15" x14ac:dyDescent="0.25">
      <c r="C34" s="1" t="s">
        <v>0</v>
      </c>
      <c r="E34" s="3">
        <f>D28</f>
        <v>5640.7358037856575</v>
      </c>
      <c r="H34" s="1" t="s">
        <v>6</v>
      </c>
      <c r="J34" s="3">
        <f>I32-J33</f>
        <v>901.63636363636374</v>
      </c>
    </row>
    <row r="35" spans="2:15" x14ac:dyDescent="0.25">
      <c r="L35">
        <v>18</v>
      </c>
      <c r="M35" t="s">
        <v>4</v>
      </c>
      <c r="N35" s="5">
        <f>E34/0.4</f>
        <v>14101.839509464144</v>
      </c>
    </row>
    <row r="36" spans="2:15" x14ac:dyDescent="0.25">
      <c r="B36">
        <v>20</v>
      </c>
      <c r="C36" t="s">
        <v>0</v>
      </c>
      <c r="D36" s="3">
        <f>J61/0.725</f>
        <v>7780.3252466009071</v>
      </c>
      <c r="G36">
        <v>12</v>
      </c>
      <c r="H36" t="s">
        <v>3</v>
      </c>
      <c r="I36" s="3">
        <f>J20</f>
        <v>1033.125</v>
      </c>
      <c r="M36" s="1" t="s">
        <v>3</v>
      </c>
      <c r="O36" s="5">
        <f>N35</f>
        <v>14101.839509464144</v>
      </c>
    </row>
    <row r="37" spans="2:15" x14ac:dyDescent="0.25">
      <c r="C37" s="1" t="s">
        <v>6</v>
      </c>
      <c r="E37" s="3">
        <f>D36-E38</f>
        <v>2139.5894428152496</v>
      </c>
      <c r="H37" t="s">
        <v>6</v>
      </c>
      <c r="I37" s="3">
        <f>J26+J34</f>
        <v>1371.2386363636365</v>
      </c>
    </row>
    <row r="38" spans="2:15" x14ac:dyDescent="0.25">
      <c r="C38" s="1" t="s">
        <v>2</v>
      </c>
      <c r="E38" s="3">
        <f>D33</f>
        <v>5640.7358037856575</v>
      </c>
      <c r="H38" s="1" t="s">
        <v>0</v>
      </c>
      <c r="J38" s="3">
        <f>I2-J6+I11-J17-J23+I25-J30+I32+I19</f>
        <v>2404.3636363636365</v>
      </c>
      <c r="L38">
        <v>19</v>
      </c>
      <c r="M38" t="s">
        <v>3</v>
      </c>
      <c r="N38" s="5">
        <f>O39</f>
        <v>14101.839509464144</v>
      </c>
    </row>
    <row r="39" spans="2:15" x14ac:dyDescent="0.25">
      <c r="M39" s="1" t="s">
        <v>4</v>
      </c>
      <c r="O39" s="5">
        <f>N35</f>
        <v>14101.839509464144</v>
      </c>
    </row>
    <row r="40" spans="2:15" x14ac:dyDescent="0.25">
      <c r="G40">
        <v>13</v>
      </c>
      <c r="H40" t="s">
        <v>0</v>
      </c>
      <c r="I40" s="3">
        <f>E26*0.75</f>
        <v>2326.8035190615838</v>
      </c>
    </row>
    <row r="41" spans="2:15" x14ac:dyDescent="0.25">
      <c r="H41" s="1" t="s">
        <v>3</v>
      </c>
      <c r="J41" s="3">
        <f>I40</f>
        <v>2326.8035190615838</v>
      </c>
    </row>
    <row r="43" spans="2:15" x14ac:dyDescent="0.25">
      <c r="G43">
        <v>14</v>
      </c>
      <c r="H43" t="s">
        <v>5</v>
      </c>
      <c r="I43" s="3">
        <f>J44</f>
        <v>2326.8035190615838</v>
      </c>
    </row>
    <row r="44" spans="2:15" x14ac:dyDescent="0.25">
      <c r="H44" s="1" t="s">
        <v>0</v>
      </c>
      <c r="J44" s="3">
        <f>I40</f>
        <v>2326.8035190615838</v>
      </c>
    </row>
    <row r="46" spans="2:15" x14ac:dyDescent="0.25">
      <c r="G46">
        <v>15</v>
      </c>
      <c r="H46" t="s">
        <v>0</v>
      </c>
      <c r="I46" s="3">
        <f>O27*0.4</f>
        <v>3102.404692082112</v>
      </c>
    </row>
    <row r="47" spans="2:15" x14ac:dyDescent="0.25">
      <c r="H47" s="1" t="s">
        <v>6</v>
      </c>
      <c r="J47" s="3">
        <f>I46-J48</f>
        <v>775.60117302052822</v>
      </c>
    </row>
    <row r="48" spans="2:15" x14ac:dyDescent="0.25">
      <c r="H48" s="1" t="s">
        <v>5</v>
      </c>
      <c r="J48" s="3">
        <f>N26/(O24/I43)</f>
        <v>2326.8035190615838</v>
      </c>
    </row>
    <row r="50" spans="7:10" x14ac:dyDescent="0.25">
      <c r="G50">
        <v>16</v>
      </c>
      <c r="H50" t="s">
        <v>5</v>
      </c>
      <c r="I50" s="3">
        <f>J51</f>
        <v>3102.404692082112</v>
      </c>
    </row>
    <row r="51" spans="7:10" x14ac:dyDescent="0.25">
      <c r="H51" s="1" t="s">
        <v>0</v>
      </c>
      <c r="J51" s="3">
        <f>I46</f>
        <v>3102.404692082112</v>
      </c>
    </row>
    <row r="53" spans="7:10" x14ac:dyDescent="0.25">
      <c r="G53">
        <v>17</v>
      </c>
      <c r="H53" t="s">
        <v>3</v>
      </c>
      <c r="I53" s="3">
        <f>J41</f>
        <v>2326.8035190615838</v>
      </c>
    </row>
    <row r="54" spans="7:10" x14ac:dyDescent="0.25">
      <c r="H54" s="2" t="s">
        <v>6</v>
      </c>
      <c r="I54" s="3">
        <f>J47</f>
        <v>775.60117302052822</v>
      </c>
    </row>
    <row r="55" spans="7:10" x14ac:dyDescent="0.25">
      <c r="H55" s="1" t="s">
        <v>5</v>
      </c>
      <c r="J55" s="3">
        <f>I50</f>
        <v>3102.404692082112</v>
      </c>
    </row>
    <row r="57" spans="7:10" x14ac:dyDescent="0.25">
      <c r="G57">
        <v>19</v>
      </c>
      <c r="H57" t="s">
        <v>0</v>
      </c>
      <c r="I57" s="3">
        <f>O39*0.4</f>
        <v>5640.7358037856575</v>
      </c>
    </row>
    <row r="58" spans="7:10" x14ac:dyDescent="0.25">
      <c r="H58" s="1" t="s">
        <v>3</v>
      </c>
      <c r="J58" s="3">
        <f>I57</f>
        <v>5640.7358037856575</v>
      </c>
    </row>
    <row r="60" spans="7:10" x14ac:dyDescent="0.25">
      <c r="G60">
        <v>20</v>
      </c>
      <c r="H60" t="s">
        <v>3</v>
      </c>
      <c r="I60" s="3">
        <f>J58</f>
        <v>5640.7358037856575</v>
      </c>
    </row>
    <row r="61" spans="7:10" x14ac:dyDescent="0.25">
      <c r="H61" s="1" t="s">
        <v>0</v>
      </c>
      <c r="J61" s="3">
        <f>I57</f>
        <v>5640.7358037856575</v>
      </c>
    </row>
    <row r="87" spans="3:14" x14ac:dyDescent="0.25">
      <c r="C87" t="s">
        <v>0</v>
      </c>
      <c r="D87" s="3" cm="1">
        <f t="array" ref="D87">SUMPRODUCT(--(C$2:C$86=C87),D$2:D$86-E$2:E$86)</f>
        <v>7780.3252466009071</v>
      </c>
      <c r="H87" t="s">
        <v>0</v>
      </c>
      <c r="I87" s="3" cm="1">
        <f t="array" ref="I87">SUMPRODUCT(--(H$2:H$86=H87),I$2:I$86-J$2:J$86)</f>
        <v>0</v>
      </c>
      <c r="M87" t="s">
        <v>4</v>
      </c>
      <c r="N87" s="5" cm="1">
        <f t="array" ref="N87">SUMPRODUCT(--(M$2:M$86=M87),N$2:N$86-O$2:O$86)</f>
        <v>0</v>
      </c>
    </row>
    <row r="88" spans="3:14" x14ac:dyDescent="0.25">
      <c r="C88" t="s">
        <v>1</v>
      </c>
      <c r="D88" s="3" cm="1">
        <f t="array" ref="D88">SUMPRODUCT(--(C$2:C$86=C88),D$2:D$86-E$2:E$86)</f>
        <v>-1000</v>
      </c>
      <c r="H88" t="s">
        <v>3</v>
      </c>
      <c r="I88" s="3" cm="1">
        <f t="array" ref="I88">SUMPRODUCT(--(H$2:H$86=H88),I$2:I$86-J$2:J$86)</f>
        <v>0</v>
      </c>
      <c r="M88" t="s">
        <v>2</v>
      </c>
      <c r="N88" s="5" cm="1">
        <f t="array" ref="N88">SUMPRODUCT(--(M$2:M$86=M88),N$2:N$86-O$2:O$86)</f>
        <v>0</v>
      </c>
    </row>
    <row r="89" spans="3:14" x14ac:dyDescent="0.25">
      <c r="C89" t="s">
        <v>6</v>
      </c>
      <c r="D89" s="3" cm="1">
        <f t="array" ref="D89">SUMPRODUCT(--(C$2:C$86=C89),D$2:D$86-E$2:E$86)</f>
        <v>-6944.2841908824321</v>
      </c>
      <c r="H89" t="s">
        <v>5</v>
      </c>
      <c r="I89" s="3" cm="1">
        <f t="array" ref="I89">SUMPRODUCT(--(H$2:H$86=H89),I$2:I$86-J$2:J$86)</f>
        <v>0</v>
      </c>
      <c r="M89" t="s">
        <v>3</v>
      </c>
      <c r="N89" s="5" cm="1">
        <f t="array" ref="N89">SUMPRODUCT(--(M$2:M$86=M89),N$2:N$86-O$2:O$86)</f>
        <v>0</v>
      </c>
    </row>
    <row r="90" spans="3:14" x14ac:dyDescent="0.25">
      <c r="C90" t="s">
        <v>2</v>
      </c>
      <c r="D90" s="3" cm="1">
        <f t="array" ref="D90">SUMPRODUCT(--(C$2:C$86=C90),D$2:D$86-E$2:E$86)</f>
        <v>0</v>
      </c>
      <c r="H90" t="s">
        <v>6</v>
      </c>
      <c r="I90" s="3" cm="1">
        <f t="array" ref="I90">SUMPRODUCT(--(H$2:H$86=H90),I$2:I$86-J$2:J$86)</f>
        <v>0</v>
      </c>
    </row>
    <row r="91" spans="3:14" x14ac:dyDescent="0.25">
      <c r="C91" t="s">
        <v>10</v>
      </c>
      <c r="D91" s="3" cm="1">
        <f t="array" ref="D91">SUMPRODUCT(--(C$2:C$86=C91),D$2:D$86-E$2:E$86)</f>
        <v>-50</v>
      </c>
      <c r="N91" s="7">
        <f>SUM(N87:N90)</f>
        <v>0</v>
      </c>
    </row>
    <row r="92" spans="3:14" x14ac:dyDescent="0.25">
      <c r="C92" t="s">
        <v>9</v>
      </c>
      <c r="D92" s="3" cm="1">
        <f t="array" ref="D92">SUMPRODUCT(--(C$2:C$86=C92),D$2:D$86-E$2:E$86)</f>
        <v>213.95894428152496</v>
      </c>
      <c r="I92" s="6">
        <f>SUM(I87:I91)</f>
        <v>0</v>
      </c>
    </row>
    <row r="94" spans="3:14" x14ac:dyDescent="0.25">
      <c r="D94" s="6">
        <f>SUM(D87:D93)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New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Unrau</dc:creator>
  <cp:lastModifiedBy>Kyle Unrau</cp:lastModifiedBy>
  <dcterms:created xsi:type="dcterms:W3CDTF">2026-04-28T15:48:31Z</dcterms:created>
  <dcterms:modified xsi:type="dcterms:W3CDTF">2026-04-30T05:24:59Z</dcterms:modified>
</cp:coreProperties>
</file>
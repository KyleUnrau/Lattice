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omputer\Repositories\Finance\Accounting-Software\beta\spreadsheets\"/>
    </mc:Choice>
  </mc:AlternateContent>
  <xr:revisionPtr revIDLastSave="0" documentId="13_ncr:1_{036552F9-C7AF-4D9E-812D-DC632C0A6313}" xr6:coauthVersionLast="47" xr6:coauthVersionMax="47" xr10:uidLastSave="{00000000-0000-0000-0000-000000000000}"/>
  <bookViews>
    <workbookView xWindow="53280" yWindow="3465" windowWidth="28620" windowHeight="15585" xr2:uid="{00000000-000D-0000-FFFF-FFFF00000000}"/>
  </bookViews>
  <sheets>
    <sheet name="Personal" sheetId="1" r:id="rId1"/>
    <sheet name="Personal (Basis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" i="1" l="1"/>
  <c r="C5" i="2" l="1"/>
  <c r="AH5" i="2"/>
  <c r="C6" i="2"/>
  <c r="M5" i="2" s="1"/>
  <c r="V6" i="2"/>
  <c r="C8" i="2"/>
  <c r="N8" i="2"/>
  <c r="O8" i="2"/>
  <c r="P8" i="2"/>
  <c r="Q8" i="2"/>
  <c r="R8" i="2"/>
  <c r="V8" i="2"/>
  <c r="W8" i="2"/>
  <c r="X8" i="2"/>
  <c r="Y8" i="2"/>
  <c r="Z8" i="2"/>
  <c r="AA8" i="2"/>
  <c r="AB8" i="2"/>
  <c r="AF8" i="2"/>
  <c r="AG8" i="2"/>
  <c r="AI8" i="2"/>
  <c r="AJ8" i="2"/>
  <c r="AK8" i="2"/>
  <c r="C10" i="2"/>
  <c r="V12" i="2" s="1"/>
  <c r="AP10" i="2"/>
  <c r="AR10" i="2"/>
  <c r="AS10" i="2"/>
  <c r="AT10" i="2"/>
  <c r="D12" i="2"/>
  <c r="E12" i="2"/>
  <c r="F12" i="2"/>
  <c r="G12" i="2"/>
  <c r="H12" i="2"/>
  <c r="I12" i="2"/>
  <c r="C16" i="2"/>
  <c r="AG16" i="2"/>
  <c r="AI16" i="2"/>
  <c r="AJ16" i="2"/>
  <c r="AK16" i="2"/>
  <c r="X17" i="2"/>
  <c r="Y17" i="2"/>
  <c r="Z17" i="2"/>
  <c r="AA17" i="2"/>
  <c r="AB17" i="2"/>
  <c r="AP18" i="2"/>
  <c r="AR18" i="2"/>
  <c r="AS18" i="2"/>
  <c r="AT18" i="2"/>
  <c r="X24" i="2"/>
  <c r="Z24" i="2"/>
  <c r="AA24" i="2"/>
  <c r="AP25" i="2"/>
  <c r="AR25" i="2"/>
  <c r="AS25" i="2"/>
  <c r="AT25" i="2"/>
  <c r="U15" i="1"/>
  <c r="C25" i="1"/>
  <c r="X9" i="1"/>
  <c r="M14" i="1"/>
  <c r="X7" i="1"/>
  <c r="N13" i="1"/>
  <c r="N11" i="1"/>
  <c r="N7" i="1"/>
  <c r="D24" i="1"/>
  <c r="D22" i="1"/>
  <c r="H6" i="1"/>
  <c r="I7" i="1" s="1"/>
  <c r="D17" i="1"/>
  <c r="N5" i="1"/>
  <c r="D15" i="1"/>
  <c r="C11" i="1"/>
  <c r="D9" i="1"/>
  <c r="C6" i="1"/>
  <c r="H4" i="1" s="1"/>
  <c r="I5" i="1" s="1"/>
  <c r="D5" i="1"/>
  <c r="W12" i="2" l="1"/>
  <c r="W10" i="2" s="1"/>
  <c r="M12" i="2"/>
  <c r="L12" i="2" s="1"/>
  <c r="V14" i="2"/>
  <c r="W14" i="2" s="1"/>
  <c r="AO5" i="2" s="1"/>
  <c r="C7" i="2"/>
  <c r="C24" i="2"/>
  <c r="C9" i="2"/>
  <c r="V21" i="2"/>
  <c r="M10" i="2"/>
  <c r="AN7" i="2"/>
  <c r="AN6" i="2"/>
  <c r="V13" i="2"/>
  <c r="AC13" i="2" s="1"/>
  <c r="L5" i="2"/>
  <c r="M3" i="2" s="1"/>
  <c r="R4" i="1"/>
  <c r="AN5" i="2" l="1"/>
  <c r="AQ5" i="2"/>
  <c r="AH13" i="2"/>
  <c r="V15" i="2"/>
  <c r="W15" i="2" s="1"/>
  <c r="AO14" i="2" s="1"/>
  <c r="AC5" i="2"/>
  <c r="AE5" i="2" s="1"/>
  <c r="C12" i="2"/>
  <c r="W13" i="2"/>
  <c r="AF13" i="2" s="1"/>
  <c r="L6" i="2"/>
  <c r="L8" i="2" s="1"/>
  <c r="AO3" i="2"/>
  <c r="AQ3" i="2"/>
  <c r="AN8" i="2"/>
  <c r="AN10" i="2" s="1"/>
  <c r="AE13" i="2"/>
  <c r="S5" i="1"/>
  <c r="R6" i="1"/>
  <c r="M8" i="1"/>
  <c r="R28" i="1"/>
  <c r="AH11" i="2" l="1"/>
  <c r="AQ14" i="2"/>
  <c r="W17" i="2"/>
  <c r="V17" i="2"/>
  <c r="M6" i="2"/>
  <c r="C20" i="2"/>
  <c r="AO8" i="2"/>
  <c r="AO7" i="2"/>
  <c r="D24" i="2" s="1"/>
  <c r="AO6" i="2"/>
  <c r="AF11" i="2"/>
  <c r="AQ7" i="2"/>
  <c r="F24" i="2" s="1"/>
  <c r="F22" i="2" s="1"/>
  <c r="AQ8" i="2"/>
  <c r="AQ6" i="2"/>
  <c r="AH3" i="2"/>
  <c r="AE6" i="2"/>
  <c r="AE8" i="2"/>
  <c r="S7" i="1"/>
  <c r="AE14" i="2"/>
  <c r="M17" i="1"/>
  <c r="N9" i="1"/>
  <c r="X5" i="1"/>
  <c r="H8" i="1"/>
  <c r="BK5" i="1" a="1"/>
  <c r="BL10" i="1" a="1"/>
  <c r="BL10" i="1" l="1"/>
  <c r="BM11" i="1" s="1"/>
  <c r="BK5" i="1"/>
  <c r="BL6" i="1" s="1"/>
  <c r="BM7" i="1" s="1"/>
  <c r="S28" i="1"/>
  <c r="M8" i="2"/>
  <c r="D20" i="2"/>
  <c r="I20" i="2" s="1"/>
  <c r="I24" i="2"/>
  <c r="D22" i="2"/>
  <c r="AO10" i="2"/>
  <c r="W21" i="2"/>
  <c r="AQ10" i="2"/>
  <c r="Y21" i="2"/>
  <c r="N15" i="1" s="1"/>
  <c r="N16" i="1" s="1"/>
  <c r="AH14" i="2"/>
  <c r="AH16" i="2" s="1"/>
  <c r="AE16" i="2"/>
  <c r="T38" i="2"/>
  <c r="AF14" i="2"/>
  <c r="AF16" i="2" s="1"/>
  <c r="AH6" i="2"/>
  <c r="AH8" i="2" s="1"/>
  <c r="T36" i="2"/>
  <c r="N18" i="1"/>
  <c r="D26" i="1"/>
  <c r="D27" i="1" s="1"/>
  <c r="I9" i="1"/>
  <c r="I28" i="1" s="1"/>
  <c r="H28" i="1"/>
  <c r="C18" i="1"/>
  <c r="AQ5" i="1" a="1"/>
  <c r="AR10" i="1" a="1"/>
  <c r="BM12" i="1" l="1"/>
  <c r="V22" i="2"/>
  <c r="V24" i="2" s="1"/>
  <c r="AQ5" i="1"/>
  <c r="AR6" i="1" s="1"/>
  <c r="AS7" i="1" s="1"/>
  <c r="AR10" i="1"/>
  <c r="AS11" i="1" s="1"/>
  <c r="W19" i="2"/>
  <c r="AB21" i="2"/>
  <c r="AB24" i="2" s="1"/>
  <c r="Y19" i="2"/>
  <c r="D19" i="1"/>
  <c r="D20" i="1"/>
  <c r="AS12" i="1" l="1"/>
  <c r="AL22" i="2"/>
  <c r="AN22" i="2" s="1"/>
  <c r="AQ22" i="2"/>
  <c r="AO22" i="2" s="1"/>
  <c r="AO20" i="2" s="1"/>
  <c r="AL14" i="2"/>
  <c r="AN14" i="2" s="1"/>
  <c r="AO12" i="2" s="1"/>
  <c r="W22" i="2"/>
  <c r="W24" i="2" s="1"/>
  <c r="Y22" i="2"/>
  <c r="Y24" i="2" s="1"/>
  <c r="AQ12" i="2" l="1"/>
  <c r="W10" i="1"/>
  <c r="AQ20" i="2"/>
  <c r="X11" i="1"/>
  <c r="W12" i="1"/>
  <c r="AN15" i="2" l="1"/>
  <c r="AQ15" i="2" s="1"/>
  <c r="AO15" i="2"/>
  <c r="AN16" i="2"/>
  <c r="AN18" i="2" s="1"/>
  <c r="T28" i="2"/>
  <c r="V28" i="2" s="1"/>
  <c r="T32" i="2"/>
  <c r="V32" i="2" s="1"/>
  <c r="X13" i="1"/>
  <c r="W14" i="1" s="1"/>
  <c r="X15" i="1" s="1"/>
  <c r="W28" i="1"/>
  <c r="Y32" i="2" l="1"/>
  <c r="AB32" i="2" s="1"/>
  <c r="W32" i="2"/>
  <c r="AQ16" i="2"/>
  <c r="AQ18" i="2" s="1"/>
  <c r="AO16" i="2"/>
  <c r="AO18" i="2" s="1"/>
  <c r="AN23" i="2"/>
  <c r="M19" i="1"/>
  <c r="X28" i="1"/>
  <c r="BV10" i="1" a="1"/>
  <c r="BU5" i="1" a="1"/>
  <c r="BU5" i="1" l="1"/>
  <c r="BV6" i="1" s="1"/>
  <c r="BW7" i="1" s="1"/>
  <c r="BV10" i="1"/>
  <c r="BW11" i="1" s="1"/>
  <c r="Y28" i="2"/>
  <c r="AB28" i="2" s="1"/>
  <c r="W28" i="2"/>
  <c r="AQ23" i="2"/>
  <c r="AO23" i="2"/>
  <c r="AN25" i="2"/>
  <c r="C28" i="2"/>
  <c r="C28" i="1" s="1"/>
  <c r="M28" i="1"/>
  <c r="BW12" i="1" l="1"/>
  <c r="AQ25" i="2"/>
  <c r="F28" i="2"/>
  <c r="AO25" i="2"/>
  <c r="D28" i="2"/>
  <c r="I28" i="2" s="1"/>
  <c r="C36" i="1"/>
  <c r="N20" i="1"/>
  <c r="N21" i="1"/>
  <c r="D30" i="1" l="1"/>
  <c r="D29" i="1"/>
  <c r="N28" i="1"/>
  <c r="BA6" i="1" a="1"/>
  <c r="BB12" i="1" a="1"/>
  <c r="BA14" i="1" a="1"/>
  <c r="BA5" i="1" a="1"/>
  <c r="BA15" i="1" a="1"/>
  <c r="BB11" i="1" a="1"/>
  <c r="BA14" i="1" l="1"/>
  <c r="BA15" i="1"/>
  <c r="BB11" i="1"/>
  <c r="BA5" i="1"/>
  <c r="BB12" i="1"/>
  <c r="BA6" i="1"/>
  <c r="D36" i="1"/>
  <c r="BB7" i="1"/>
  <c r="BC8" i="1" s="1"/>
  <c r="AF17" i="1" a="1"/>
  <c r="AF15" i="1" a="1"/>
  <c r="AG8" i="1" a="1"/>
  <c r="AF21" i="1" a="1"/>
  <c r="AF29" i="1" a="1"/>
  <c r="AH13" i="1" a="1"/>
  <c r="AF28" i="1" a="1"/>
  <c r="AF16" i="1" a="1"/>
  <c r="AF23" i="1" a="1"/>
  <c r="AF24" i="1" a="1"/>
  <c r="AF27" i="1" a="1"/>
  <c r="AF30" i="1" a="1"/>
  <c r="AG5" i="1" a="1"/>
  <c r="AF22" i="1" a="1"/>
  <c r="BB16" i="1" l="1"/>
  <c r="BC17" i="1" s="1"/>
  <c r="BC18" i="1" s="1"/>
  <c r="AG5" i="1"/>
  <c r="AH6" i="1" s="1"/>
  <c r="AF30" i="1"/>
  <c r="AG8" i="1"/>
  <c r="AH9" i="1" s="1"/>
  <c r="AF24" i="1"/>
  <c r="AF23" i="1"/>
  <c r="AF28" i="1"/>
  <c r="AF22" i="1"/>
  <c r="AF17" i="1"/>
  <c r="AF15" i="1"/>
  <c r="AF21" i="1"/>
  <c r="AH13" i="1"/>
  <c r="AF29" i="1"/>
  <c r="AF27" i="1"/>
  <c r="AF16" i="1"/>
  <c r="AI10" i="1"/>
  <c r="AG18" i="1" l="1"/>
  <c r="AG25" i="1"/>
  <c r="AG31" i="1"/>
  <c r="AH32" i="1" l="1"/>
  <c r="AI33" i="1" s="1"/>
  <c r="AI3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<sst xmlns="http://schemas.openxmlformats.org/spreadsheetml/2006/main" count="466" uniqueCount="75">
  <si>
    <t>Cash</t>
  </si>
  <si>
    <t>CAD</t>
  </si>
  <si>
    <t>Transaction</t>
  </si>
  <si>
    <t>Telecom Expense</t>
  </si>
  <si>
    <t>GST Expense</t>
  </si>
  <si>
    <t>Employment Income</t>
  </si>
  <si>
    <t>Tax Payable</t>
  </si>
  <si>
    <t>Investment Portfolio</t>
  </si>
  <si>
    <t>Dividend Income</t>
  </si>
  <si>
    <t>Net Transfers</t>
  </si>
  <si>
    <t>T9</t>
  </si>
  <si>
    <t>T7</t>
  </si>
  <si>
    <t>T6</t>
  </si>
  <si>
    <t>T4</t>
  </si>
  <si>
    <t>T3</t>
  </si>
  <si>
    <t>T2</t>
  </si>
  <si>
    <t>T1</t>
  </si>
  <si>
    <t>T10</t>
  </si>
  <si>
    <t>Initial State</t>
  </si>
  <si>
    <t>Account</t>
  </si>
  <si>
    <t>DR</t>
  </si>
  <si>
    <t>CR</t>
  </si>
  <si>
    <t>USD</t>
  </si>
  <si>
    <t>Assets</t>
  </si>
  <si>
    <t>Personal</t>
  </si>
  <si>
    <t>Liabilities</t>
  </si>
  <si>
    <t>Total Assets</t>
  </si>
  <si>
    <t>Net Worth</t>
  </si>
  <si>
    <t>Income</t>
  </si>
  <si>
    <t>Total Income</t>
  </si>
  <si>
    <t>Expenses</t>
  </si>
  <si>
    <t>Net Income</t>
  </si>
  <si>
    <t>Less: Total Expenses</t>
  </si>
  <si>
    <t>Less: Total Liabilities</t>
  </si>
  <si>
    <t>Net Assets</t>
  </si>
  <si>
    <t>Ledger Balance</t>
  </si>
  <si>
    <t>ETF</t>
  </si>
  <si>
    <t>USDStock</t>
  </si>
  <si>
    <t>T11</t>
  </si>
  <si>
    <t>T12</t>
  </si>
  <si>
    <t>Capital Gains</t>
  </si>
  <si>
    <t>T13</t>
  </si>
  <si>
    <t>Total</t>
  </si>
  <si>
    <t>T14</t>
  </si>
  <si>
    <t>Oranges</t>
  </si>
  <si>
    <t>IS</t>
  </si>
  <si>
    <t>Accounts Receivable - Roddy</t>
  </si>
  <si>
    <t>Grocery Expense</t>
  </si>
  <si>
    <t>T5</t>
  </si>
  <si>
    <t>Transportation Expense</t>
  </si>
  <si>
    <t>T8</t>
  </si>
  <si>
    <t>Inventory</t>
  </si>
  <si>
    <t>Profit</t>
  </si>
  <si>
    <t>T15</t>
  </si>
  <si>
    <t>Net Transfers - ETF</t>
  </si>
  <si>
    <t>Net Transfers - USD</t>
  </si>
  <si>
    <t>Net Transfers - Oranges</t>
  </si>
  <si>
    <t>Gain/Profit</t>
  </si>
  <si>
    <t>Delta</t>
  </si>
  <si>
    <t>Trans.</t>
  </si>
  <si>
    <t>Lot G</t>
  </si>
  <si>
    <t>Lot F</t>
  </si>
  <si>
    <t>Lot E</t>
  </si>
  <si>
    <t>Lot D</t>
  </si>
  <si>
    <t>Lot C</t>
  </si>
  <si>
    <t>Lot B</t>
  </si>
  <si>
    <t>Lot A</t>
  </si>
  <si>
    <t>Oranges - Inventory</t>
  </si>
  <si>
    <t>USDStock - Investment Portfolio</t>
  </si>
  <si>
    <t>USD - Cash &amp; Receivables</t>
  </si>
  <si>
    <t>ETF - Investment Portfolio</t>
  </si>
  <si>
    <t>CAD - Cash</t>
  </si>
  <si>
    <t>Net Transfers - CAD</t>
  </si>
  <si>
    <t>Net Transfers - USDStock</t>
  </si>
  <si>
    <t>T16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</si>
</sst>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&quot; shares&quot;_);_(* \(#,##0.00\);_(* &quot;-&quot;??_);_(@_)"/>
    <numFmt numFmtId="165" formatCode="_(* #,##0&quot; oranges&quot;_);_(* \(#,##0\);_(* &quot;-&quot;??_);_(@_)"/>
    <numFmt numFmtId="166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44" fontId="0" fillId="0" borderId="0" xfId="2" applyFont="1"/>
    <xf numFmtId="0" fontId="0" fillId="0" borderId="0" xfId="0" applyAlignment="1">
      <alignment horizontal="left" indent="2"/>
    </xf>
    <xf numFmtId="43" fontId="0" fillId="0" borderId="0" xfId="1" applyFont="1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 indent="2"/>
    </xf>
    <xf numFmtId="44" fontId="0" fillId="0" borderId="1" xfId="2" applyFont="1" applyBorder="1"/>
    <xf numFmtId="43" fontId="0" fillId="0" borderId="0" xfId="1" applyFont="1" applyBorder="1"/>
    <xf numFmtId="0" fontId="0" fillId="0" borderId="2" xfId="0" applyBorder="1"/>
    <xf numFmtId="44" fontId="0" fillId="0" borderId="2" xfId="2" applyFont="1" applyBorder="1"/>
    <xf numFmtId="0" fontId="4" fillId="0" borderId="2" xfId="0" applyFont="1" applyBorder="1"/>
    <xf numFmtId="44" fontId="4" fillId="0" borderId="2" xfId="2" applyFont="1" applyBorder="1"/>
    <xf numFmtId="0" fontId="0" fillId="0" borderId="3" xfId="0" applyBorder="1"/>
    <xf numFmtId="0" fontId="0" fillId="0" borderId="4" xfId="0" applyBorder="1"/>
    <xf numFmtId="44" fontId="0" fillId="0" borderId="4" xfId="2" applyFont="1" applyBorder="1"/>
    <xf numFmtId="44" fontId="0" fillId="0" borderId="0" xfId="2" applyFont="1" applyBorder="1"/>
    <xf numFmtId="164" fontId="0" fillId="0" borderId="0" xfId="1" applyNumberFormat="1" applyFont="1"/>
    <xf numFmtId="164" fontId="4" fillId="0" borderId="2" xfId="1" applyNumberFormat="1" applyFont="1" applyBorder="1"/>
    <xf numFmtId="164" fontId="0" fillId="0" borderId="2" xfId="1" applyNumberFormat="1" applyFont="1" applyBorder="1"/>
    <xf numFmtId="164" fontId="0" fillId="0" borderId="4" xfId="1" applyNumberFormat="1" applyFont="1" applyBorder="1"/>
    <xf numFmtId="164" fontId="0" fillId="0" borderId="0" xfId="1" applyNumberFormat="1" applyFont="1" applyBorder="1"/>
    <xf numFmtId="44" fontId="0" fillId="0" borderId="0" xfId="0" applyNumberFormat="1"/>
    <xf numFmtId="43" fontId="0" fillId="0" borderId="0" xfId="0" applyNumberFormat="1"/>
    <xf numFmtId="164" fontId="0" fillId="0" borderId="1" xfId="1" applyNumberFormat="1" applyFont="1" applyBorder="1"/>
    <xf numFmtId="165" fontId="0" fillId="0" borderId="0" xfId="1" applyNumberFormat="1" applyFont="1"/>
    <xf numFmtId="165" fontId="0" fillId="0" borderId="0" xfId="1" applyNumberFormat="1" applyFont="1" applyBorder="1"/>
    <xf numFmtId="165" fontId="0" fillId="0" borderId="1" xfId="1" applyNumberFormat="1" applyFont="1" applyBorder="1"/>
    <xf numFmtId="165" fontId="4" fillId="0" borderId="2" xfId="1" applyNumberFormat="1" applyFont="1" applyBorder="1"/>
    <xf numFmtId="165" fontId="0" fillId="0" borderId="2" xfId="1" applyNumberFormat="1" applyFont="1" applyBorder="1"/>
    <xf numFmtId="165" fontId="0" fillId="0" borderId="4" xfId="1" applyNumberFormat="1" applyFont="1" applyBorder="1"/>
    <xf numFmtId="0" fontId="3" fillId="0" borderId="0" xfId="0" applyFont="1"/>
    <xf numFmtId="0" fontId="3" fillId="0" borderId="5" xfId="0" applyFont="1" applyBorder="1"/>
    <xf numFmtId="43" fontId="3" fillId="0" borderId="0" xfId="1" applyFont="1" applyBorder="1"/>
    <xf numFmtId="0" fontId="3" fillId="0" borderId="6" xfId="0" applyFont="1" applyBorder="1"/>
    <xf numFmtId="10" fontId="0" fillId="0" borderId="0" xfId="3" applyNumberFormat="1" applyFont="1"/>
    <xf numFmtId="44" fontId="3" fillId="0" borderId="0" xfId="2" applyFont="1"/>
    <xf numFmtId="166" fontId="0" fillId="0" borderId="0" xfId="3" applyNumberFormat="1" applyFont="1" applyBorder="1"/>
    <xf numFmtId="44" fontId="3" fillId="0" borderId="0" xfId="2" applyFont="1" applyBorder="1"/>
    <xf numFmtId="43" fontId="5" fillId="0" borderId="7" xfId="1" applyFont="1" applyBorder="1"/>
    <xf numFmtId="43" fontId="5" fillId="0" borderId="8" xfId="1" applyFont="1" applyBorder="1"/>
    <xf numFmtId="0" fontId="5" fillId="0" borderId="9" xfId="0" applyFont="1" applyBorder="1"/>
    <xf numFmtId="0" fontId="0" fillId="0" borderId="5" xfId="0" applyBorder="1"/>
    <xf numFmtId="0" fontId="0" fillId="0" borderId="6" xfId="0" applyBorder="1"/>
    <xf numFmtId="44" fontId="1" fillId="0" borderId="0" xfId="2" applyFont="1" applyBorder="1"/>
    <xf numFmtId="43" fontId="0" fillId="0" borderId="5" xfId="0" applyNumberFormat="1" applyBorder="1"/>
    <xf numFmtId="0" fontId="0" fillId="0" borderId="10" xfId="0" applyBorder="1"/>
    <xf numFmtId="43" fontId="0" fillId="0" borderId="2" xfId="1" applyFont="1" applyBorder="1"/>
    <xf numFmtId="0" fontId="3" fillId="0" borderId="11" xfId="0" applyFont="1" applyBorder="1"/>
    <xf numFmtId="43" fontId="5" fillId="0" borderId="7" xfId="0" applyNumberFormat="1" applyFont="1" applyBorder="1"/>
    <xf numFmtId="43" fontId="5" fillId="0" borderId="8" xfId="0" applyNumberFormat="1" applyFont="1" applyBorder="1"/>
    <xf numFmtId="44" fontId="5" fillId="0" borderId="8" xfId="2" applyFont="1" applyBorder="1"/>
    <xf numFmtId="43" fontId="3" fillId="0" borderId="0" xfId="1" applyFont="1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&quot; oranges&quot;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&quot; oranges&quot;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&quot; oranges&quot;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&quot; oranges&quot;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&quot; shares&quot;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&quot; shares&quot;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&quot; shares&quot;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&quot; shares&quot;_);_(* \(#,##0.00\);_(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&quot; shares&quot;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&quot; shares&quot;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&quot; shares&quot;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&quot; shares&quot;_);_(* \(#,##0.00\);_(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DA3254-D8A8-4D4D-BF90-A8C16857C50D}" name="Personal_CAD" displayName="Personal_CAD" ref="A3:D36" totalsRowCount="1">
  <autoFilter ref="A3:D35" xr:uid="{A4DA3254-D8A8-4D4D-BF90-A8C16857C50D}"/>
  <tableColumns count="4">
    <tableColumn id="1" xr3:uid="{6DBA3E85-C736-40D5-BA27-A79FE17EFFAF}" name="Transaction" totalsRowLabel="Total"/>
    <tableColumn id="2" xr3:uid="{F27E3520-5750-4C09-8258-BF1A4D81AF0E}" name="Account"/>
    <tableColumn id="3" xr3:uid="{C85F3B9C-A443-4B26-8FFF-F462D0C80650}" name="DR" totalsRowFunction="sum" dataDxfId="19" totalsRowDxfId="18" dataCellStyle="Currency"/>
    <tableColumn id="4" xr3:uid="{5141D327-4040-4B58-A12F-888CC5672120}" name="CR" totalsRowFunction="sum" dataDxfId="17" totalsRowDxfId="16" dataCellStyle="Curr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635C38-6B6D-419C-85A8-302115BBCB5A}" name="Personal_ETF" displayName="Personal_ETF" ref="F3:I28" totalsRowCount="1">
  <autoFilter ref="F3:I27" xr:uid="{B1635C38-6B6D-419C-85A8-302115BBCB5A}"/>
  <tableColumns count="4">
    <tableColumn id="1" xr3:uid="{895C7284-C85C-40BF-8B68-7B0D568589E9}" name="Transaction" totalsRowLabel="Total"/>
    <tableColumn id="2" xr3:uid="{645D03B4-420D-4C3E-9B52-C01D1520BE8F}" name="Account"/>
    <tableColumn id="3" xr3:uid="{0B4E13F4-E250-4D36-BCB0-29F30C266A98}" name="DR" totalsRowFunction="sum" dataDxfId="15" totalsRowDxfId="14" dataCellStyle="Comma" totalsRowCellStyle="Comma"/>
    <tableColumn id="4" xr3:uid="{22988D7F-C302-445F-A8F1-FF496BA21AAD}" name="CR" totalsRowFunction="sum" dataDxfId="13" totalsRowDxfId="12" dataCellStyle="Comma" totalsRowCellStyle="Comm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3BAFCE-E0C4-45C0-8AB3-D1B45DE5E4EA}" name="Personal_USD" displayName="Personal_USD" ref="K3:N28" totalsRowCount="1">
  <autoFilter ref="K3:N27" xr:uid="{BA3BAFCE-E0C4-45C0-8AB3-D1B45DE5E4EA}"/>
  <tableColumns count="4">
    <tableColumn id="1" xr3:uid="{5F036847-C4F9-4F05-8AD3-9E106B1191D9}" name="Transaction" totalsRowLabel="Total"/>
    <tableColumn id="2" xr3:uid="{6EB1DAB2-4FB1-4FF9-B2FC-85767DAC699E}" name="Account"/>
    <tableColumn id="3" xr3:uid="{46FC5401-913C-42C2-8DF9-BC760EE02573}" name="DR" totalsRowFunction="sum" dataDxfId="11" totalsRowDxfId="10" dataCellStyle="Currency"/>
    <tableColumn id="4" xr3:uid="{55DEF949-16EF-46D2-BBC2-34AA05C6DFC5}" name="CR" totalsRowFunction="sum" dataDxfId="9" totalsRowDxfId="8" dataCellStyle="Currenc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D347316-A8C1-444B-BFD5-1FEFE4270E0A}" name="Personal_USDStock" displayName="Personal_USDStock" ref="P3:S28" totalsRowCount="1">
  <autoFilter ref="P3:S27" xr:uid="{1D347316-A8C1-444B-BFD5-1FEFE4270E0A}"/>
  <tableColumns count="4">
    <tableColumn id="1" xr3:uid="{D13A0312-B1F2-4E6E-96C6-9ED494C60AF4}" name="Transaction" totalsRowLabel="Total"/>
    <tableColumn id="2" xr3:uid="{A899C109-CA3F-4236-BC69-3E1A37E3F67F}" name="Account"/>
    <tableColumn id="3" xr3:uid="{5AF1365E-C2B5-4E1A-BEFF-4865298AE031}" name="DR" totalsRowFunction="sum" dataDxfId="7" totalsRowDxfId="6" dataCellStyle="Comma" totalsRowCellStyle="Comma"/>
    <tableColumn id="4" xr3:uid="{E020BC59-FA4B-4084-B660-50C925E10288}" name="CR" totalsRowFunction="sum" dataDxfId="5" totalsRowDxfId="4" dataCellStyle="Comma" totalsRowCellStyle="Comm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EA5959B-C2B6-42A3-AD2C-899C49216597}" name="Personal_Oranges" displayName="Personal_Oranges" ref="U3:X28" totalsRowCount="1">
  <autoFilter ref="U3:X27" xr:uid="{4EA5959B-C2B6-42A3-AD2C-899C49216597}"/>
  <tableColumns count="4">
    <tableColumn id="1" xr3:uid="{4EF0117D-7640-4C2E-B025-38DCD24920AE}" name="Transaction" totalsRowLabel="Total"/>
    <tableColumn id="2" xr3:uid="{72F3C505-5910-4CAD-8528-C16214BCA167}" name="Account"/>
    <tableColumn id="3" xr3:uid="{7F80D79A-5FCD-4F08-BE05-BC88BCAF0BD9}" name="DR" totalsRowFunction="sum" dataDxfId="3" totalsRowDxfId="2" dataCellStyle="Comma" totalsRowCellStyle="Comma"/>
    <tableColumn id="4" xr3:uid="{98B32EB5-A3A0-4D98-BB40-48DA666B03E2}" name="CR" totalsRowFunction="sum" dataDxfId="1" totalsRowDxfId="0" dataCellStyle="Comma" totalsRow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36"/>
  <sheetViews>
    <sheetView tabSelected="1" workbookViewId="0">
      <selection activeCell="G19" sqref="G19"/>
    </sheetView>
  </sheetViews>
  <sheetFormatPr defaultRowHeight="15" x14ac:dyDescent="0.25"/>
  <cols>
    <col min="1" max="1" width="13.140625" customWidth="1"/>
    <col min="2" max="2" width="44.42578125" customWidth="1"/>
    <col min="3" max="4" width="12.7109375" style="1" customWidth="1"/>
    <col min="6" max="6" width="11" customWidth="1"/>
    <col min="7" max="7" width="44.42578125" customWidth="1"/>
    <col min="8" max="9" width="14.5703125" style="17" customWidth="1"/>
    <col min="11" max="11" width="11" customWidth="1"/>
    <col min="12" max="12" width="44.42578125" customWidth="1"/>
    <col min="13" max="14" width="12.7109375" style="1" customWidth="1"/>
    <col min="16" max="16" width="11" customWidth="1"/>
    <col min="17" max="17" width="44.42578125" customWidth="1"/>
    <col min="18" max="19" width="15.140625" style="17" customWidth="1"/>
    <col min="21" max="21" width="11" customWidth="1"/>
    <col min="22" max="22" width="44.42578125" customWidth="1"/>
    <col min="23" max="24" width="17" style="25" customWidth="1"/>
    <col min="27" max="27" width="4.42578125" customWidth="1"/>
    <col min="28" max="30" width="4.140625" customWidth="1"/>
    <col min="31" max="31" width="29.7109375" customWidth="1"/>
    <col min="32" max="35" width="13.140625" style="1" customWidth="1"/>
    <col min="36" max="36" width="8.42578125" style="1" customWidth="1"/>
    <col min="37" max="37" width="4.42578125" customWidth="1"/>
    <col min="38" max="40" width="4.140625" customWidth="1"/>
    <col min="41" max="41" width="29.7109375" customWidth="1"/>
    <col min="42" max="42" width="13.140625" style="1" customWidth="1"/>
    <col min="43" max="45" width="13.140625" style="17" customWidth="1"/>
    <col min="47" max="47" width="4.42578125" customWidth="1"/>
    <col min="48" max="50" width="4.140625" customWidth="1"/>
    <col min="51" max="51" width="29.7109375" customWidth="1"/>
    <col min="52" max="55" width="13.140625" style="1" customWidth="1"/>
    <col min="57" max="57" width="4.42578125" customWidth="1"/>
    <col min="58" max="60" width="4.140625" customWidth="1"/>
    <col min="61" max="61" width="29.7109375" customWidth="1"/>
    <col min="62" max="62" width="13.140625" style="1" customWidth="1"/>
    <col min="63" max="65" width="13.140625" style="17" customWidth="1"/>
    <col min="67" max="67" width="4.42578125" customWidth="1"/>
    <col min="68" max="70" width="4.140625" customWidth="1"/>
    <col min="71" max="71" width="29.7109375" customWidth="1"/>
    <col min="72" max="72" width="13.140625" style="1" customWidth="1"/>
    <col min="73" max="73" width="14.140625" style="25" customWidth="1"/>
    <col min="74" max="74" width="15.5703125" style="25" customWidth="1"/>
    <col min="75" max="75" width="14.140625" style="25" customWidth="1"/>
  </cols>
  <sheetData>
    <row r="1" spans="1:75" x14ac:dyDescent="0.25">
      <c r="A1" s="53" t="s">
        <v>1</v>
      </c>
      <c r="B1" s="53"/>
      <c r="C1" s="53"/>
      <c r="D1" s="53"/>
      <c r="F1" s="53" t="s">
        <v>36</v>
      </c>
      <c r="G1" s="53"/>
      <c r="H1" s="53"/>
      <c r="I1" s="53"/>
      <c r="K1" s="53" t="s">
        <v>22</v>
      </c>
      <c r="L1" s="53"/>
      <c r="M1" s="53"/>
      <c r="N1" s="53"/>
      <c r="P1" s="53" t="s">
        <v>37</v>
      </c>
      <c r="Q1" s="53"/>
      <c r="R1" s="53"/>
      <c r="S1" s="53"/>
      <c r="U1" s="53" t="s">
        <v>44</v>
      </c>
      <c r="V1" s="53"/>
      <c r="W1" s="53"/>
      <c r="X1" s="53"/>
      <c r="AB1" s="54" t="s">
        <v>1</v>
      </c>
      <c r="AC1" s="54"/>
      <c r="AD1" s="54"/>
      <c r="AE1" s="54"/>
      <c r="AF1" s="54"/>
      <c r="AG1" s="54"/>
      <c r="AH1" s="54"/>
      <c r="AI1" s="54"/>
      <c r="AL1" s="54" t="s">
        <v>36</v>
      </c>
      <c r="AM1" s="54"/>
      <c r="AN1" s="54"/>
      <c r="AO1" s="54"/>
      <c r="AP1" s="54"/>
      <c r="AQ1" s="54"/>
      <c r="AR1" s="54"/>
      <c r="AS1" s="54"/>
      <c r="AV1" s="54" t="s">
        <v>22</v>
      </c>
      <c r="AW1" s="54"/>
      <c r="AX1" s="54"/>
      <c r="AY1" s="54"/>
      <c r="AZ1" s="54"/>
      <c r="BA1" s="54"/>
      <c r="BB1" s="54"/>
      <c r="BC1" s="54"/>
      <c r="BF1" s="54" t="s">
        <v>37</v>
      </c>
      <c r="BG1" s="54"/>
      <c r="BH1" s="54"/>
      <c r="BI1" s="54"/>
      <c r="BJ1" s="54"/>
      <c r="BK1" s="54"/>
      <c r="BL1" s="54"/>
      <c r="BM1" s="54"/>
      <c r="BP1" s="54" t="s">
        <v>44</v>
      </c>
      <c r="BQ1" s="54"/>
      <c r="BR1" s="54"/>
      <c r="BS1" s="54"/>
      <c r="BT1" s="54"/>
      <c r="BU1" s="54"/>
      <c r="BV1" s="54"/>
      <c r="BW1" s="54"/>
    </row>
    <row r="2" spans="1:75" x14ac:dyDescent="0.25">
      <c r="A2" s="53"/>
      <c r="B2" s="53"/>
      <c r="C2" s="53"/>
      <c r="D2" s="53"/>
      <c r="F2" s="53"/>
      <c r="G2" s="53"/>
      <c r="H2" s="53"/>
      <c r="I2" s="53"/>
      <c r="K2" s="53"/>
      <c r="L2" s="53"/>
      <c r="M2" s="53"/>
      <c r="N2" s="53"/>
      <c r="P2" s="53"/>
      <c r="Q2" s="53"/>
      <c r="R2" s="53"/>
      <c r="S2" s="53"/>
      <c r="U2" s="53"/>
      <c r="V2" s="53"/>
      <c r="W2" s="53"/>
      <c r="X2" s="53"/>
      <c r="Z2" t="s">
        <v>24</v>
      </c>
      <c r="AB2" s="54"/>
      <c r="AC2" s="54"/>
      <c r="AD2" s="54"/>
      <c r="AE2" s="54"/>
      <c r="AF2" s="54"/>
      <c r="AG2" s="54"/>
      <c r="AH2" s="54"/>
      <c r="AI2" s="54"/>
      <c r="AL2" s="54"/>
      <c r="AM2" s="54"/>
      <c r="AN2" s="54"/>
      <c r="AO2" s="54"/>
      <c r="AP2" s="54"/>
      <c r="AQ2" s="54"/>
      <c r="AR2" s="54"/>
      <c r="AS2" s="54"/>
      <c r="AV2" s="54"/>
      <c r="AW2" s="54"/>
      <c r="AX2" s="54"/>
      <c r="AY2" s="54"/>
      <c r="AZ2" s="54"/>
      <c r="BA2" s="54"/>
      <c r="BB2" s="54"/>
      <c r="BC2" s="54"/>
      <c r="BF2" s="54"/>
      <c r="BG2" s="54"/>
      <c r="BH2" s="54"/>
      <c r="BI2" s="54"/>
      <c r="BJ2" s="54"/>
      <c r="BK2" s="54"/>
      <c r="BL2" s="54"/>
      <c r="BM2" s="54"/>
      <c r="BP2" s="54"/>
      <c r="BQ2" s="54"/>
      <c r="BR2" s="54"/>
      <c r="BS2" s="54"/>
      <c r="BT2" s="54"/>
      <c r="BU2" s="54"/>
      <c r="BV2" s="54"/>
      <c r="BW2" s="54"/>
    </row>
    <row r="3" spans="1:75" x14ac:dyDescent="0.25">
      <c r="A3" t="s">
        <v>2</v>
      </c>
      <c r="B3" t="s">
        <v>19</v>
      </c>
      <c r="C3" s="1" t="s">
        <v>20</v>
      </c>
      <c r="D3" s="1" t="s">
        <v>21</v>
      </c>
      <c r="F3" t="s">
        <v>2</v>
      </c>
      <c r="G3" t="s">
        <v>19</v>
      </c>
      <c r="H3" s="17" t="s">
        <v>20</v>
      </c>
      <c r="I3" s="17" t="s">
        <v>21</v>
      </c>
      <c r="K3" t="s">
        <v>2</v>
      </c>
      <c r="L3" t="s">
        <v>19</v>
      </c>
      <c r="M3" s="1" t="s">
        <v>20</v>
      </c>
      <c r="N3" s="1" t="s">
        <v>21</v>
      </c>
      <c r="P3" t="s">
        <v>2</v>
      </c>
      <c r="Q3" t="s">
        <v>19</v>
      </c>
      <c r="R3" s="17" t="s">
        <v>20</v>
      </c>
      <c r="S3" s="17" t="s">
        <v>21</v>
      </c>
      <c r="U3" t="s">
        <v>2</v>
      </c>
      <c r="V3" t="s">
        <v>19</v>
      </c>
      <c r="W3" s="25" t="s">
        <v>20</v>
      </c>
      <c r="X3" s="25" t="s">
        <v>21</v>
      </c>
      <c r="AB3" t="s">
        <v>34</v>
      </c>
      <c r="AL3" t="s">
        <v>34</v>
      </c>
      <c r="AV3" t="s">
        <v>34</v>
      </c>
      <c r="BF3" t="s">
        <v>34</v>
      </c>
      <c r="BP3" t="s">
        <v>34</v>
      </c>
    </row>
    <row r="4" spans="1:75" x14ac:dyDescent="0.25">
      <c r="A4" t="s">
        <v>45</v>
      </c>
      <c r="B4" t="s">
        <v>0</v>
      </c>
      <c r="C4" s="1">
        <v>30000</v>
      </c>
      <c r="F4" t="s">
        <v>16</v>
      </c>
      <c r="G4" t="s">
        <v>7</v>
      </c>
      <c r="H4" s="21">
        <f>C6/265</f>
        <v>37.735849056603776</v>
      </c>
      <c r="I4" s="21"/>
      <c r="K4" t="s">
        <v>45</v>
      </c>
      <c r="L4" t="s">
        <v>46</v>
      </c>
      <c r="M4" s="16">
        <v>300</v>
      </c>
      <c r="N4" s="16"/>
      <c r="P4" t="s">
        <v>10</v>
      </c>
      <c r="Q4" t="s">
        <v>7</v>
      </c>
      <c r="R4" s="21">
        <f>N11/100</f>
        <v>50</v>
      </c>
      <c r="S4" s="21"/>
      <c r="U4" t="s">
        <v>17</v>
      </c>
      <c r="V4" t="s">
        <v>51</v>
      </c>
      <c r="W4" s="26">
        <f>'Personal (Basis)'!$AN$5</f>
        <v>1304.3478260869567</v>
      </c>
      <c r="X4" s="26"/>
      <c r="AC4" t="s">
        <v>23</v>
      </c>
      <c r="AM4" t="s">
        <v>23</v>
      </c>
      <c r="AW4" t="s">
        <v>23</v>
      </c>
      <c r="BG4" t="s">
        <v>23</v>
      </c>
      <c r="BQ4" t="s">
        <v>23</v>
      </c>
    </row>
    <row r="5" spans="1:75" x14ac:dyDescent="0.25">
      <c r="A5" s="5" t="s">
        <v>45</v>
      </c>
      <c r="B5" s="6" t="s">
        <v>18</v>
      </c>
      <c r="C5" s="7"/>
      <c r="D5" s="7">
        <f>C4</f>
        <v>30000</v>
      </c>
      <c r="F5" s="5" t="s">
        <v>16</v>
      </c>
      <c r="G5" s="6" t="s">
        <v>72</v>
      </c>
      <c r="H5" s="24"/>
      <c r="I5" s="24">
        <f>H4</f>
        <v>37.735849056603776</v>
      </c>
      <c r="K5" s="5" t="s">
        <v>45</v>
      </c>
      <c r="L5" s="6" t="s">
        <v>18</v>
      </c>
      <c r="M5" s="7"/>
      <c r="N5" s="7">
        <f>M4</f>
        <v>300</v>
      </c>
      <c r="P5" s="5" t="s">
        <v>10</v>
      </c>
      <c r="Q5" s="6" t="s">
        <v>9</v>
      </c>
      <c r="R5" s="24"/>
      <c r="S5" s="24">
        <f>R4</f>
        <v>50</v>
      </c>
      <c r="U5" s="5" t="s">
        <v>17</v>
      </c>
      <c r="V5" s="6" t="s">
        <v>9</v>
      </c>
      <c r="W5" s="27"/>
      <c r="X5" s="27">
        <f>W4</f>
        <v>1304.3478260869567</v>
      </c>
      <c r="AA5">
        <v>1</v>
      </c>
      <c r="AD5" t="s">
        <v>0</v>
      </c>
      <c r="AF5"/>
      <c r="AG5" s="1" cm="1">
        <f t="array" aca="1" ref="AG5" ca="1">SUMPRODUCT(--(INDIRECT(_xlfn.CONCAT($Z$2,"_",AB$1,"[Account]"))=AD5),INDIRECT(_xlfn.CONCAT($Z$2,"_",AB$1,"[DR]"))-INDIRECT(_xlfn.CONCAT($Z$2,"_",AB$1,"[CR]")))*AA5</f>
        <v>21846.501230516817</v>
      </c>
      <c r="AK5">
        <v>1</v>
      </c>
      <c r="AN5" t="s">
        <v>7</v>
      </c>
      <c r="AP5"/>
      <c r="AQ5" s="17" cm="1">
        <f t="array" aca="1" ref="AQ5" ca="1">SUMPRODUCT(--(INDIRECT(_xlfn.CONCAT($Z$2,"_",AL$1,"[Account]"))=AN5),INDIRECT(_xlfn.CONCAT($Z$2,"_",AL$1,"[DR]"))-INDIRECT(_xlfn.CONCAT($Z$2,"_",AL$1,"[CR]")))*AK5</f>
        <v>28.672257162823207</v>
      </c>
      <c r="AU5">
        <v>1</v>
      </c>
      <c r="AX5" t="s">
        <v>0</v>
      </c>
      <c r="AZ5"/>
      <c r="BA5" s="1" cm="1">
        <f t="array" aca="1" ref="BA5" ca="1">SUMPRODUCT(--(INDIRECT(_xlfn.CONCAT($Z$2,"_",AV$1,"[Account]"))=AX5),INDIRECT(_xlfn.CONCAT($Z$2,"_",AV$1,"[DR]"))-INDIRECT(_xlfn.CONCAT($Z$2,"_",AV$1,"[CR]")))*AU5</f>
        <v>2608.6956521739139</v>
      </c>
      <c r="BE5">
        <v>1</v>
      </c>
      <c r="BH5" t="s">
        <v>7</v>
      </c>
      <c r="BJ5"/>
      <c r="BK5" s="17" cm="1">
        <f t="array" aca="1" ref="BK5" ca="1">SUMPRODUCT(--(INDIRECT(_xlfn.CONCAT($Z$2,"_",BF$1,"[Account]"))=BH5),INDIRECT(_xlfn.CONCAT($Z$2,"_",BF$1,"[DR]"))-INDIRECT(_xlfn.CONCAT($Z$2,"_",BF$1,"[CR]")))*BE5</f>
        <v>0</v>
      </c>
      <c r="BO5">
        <v>1</v>
      </c>
      <c r="BR5" t="s">
        <v>51</v>
      </c>
      <c r="BT5"/>
      <c r="BU5" s="25" cm="1">
        <f t="array" aca="1" ref="BU5" ca="1">SUMPRODUCT(--(INDIRECT(_xlfn.CONCAT($Z$2,"_",BP$1,"[Account]"))=BR5),INDIRECT(_xlfn.CONCAT($Z$2,"_",BP$1,"[DR]"))-INDIRECT(_xlfn.CONCAT($Z$2,"_",BP$1,"[CR]")))*BO5</f>
        <v>0</v>
      </c>
    </row>
    <row r="6" spans="1:75" x14ac:dyDescent="0.25">
      <c r="A6" t="s">
        <v>16</v>
      </c>
      <c r="B6" t="s">
        <v>54</v>
      </c>
      <c r="C6" s="16">
        <f>D7</f>
        <v>10000</v>
      </c>
      <c r="D6" s="16"/>
      <c r="F6" t="s">
        <v>48</v>
      </c>
      <c r="G6" t="s">
        <v>7</v>
      </c>
      <c r="H6" s="21">
        <f>C16/270</f>
        <v>0.37037037037037035</v>
      </c>
      <c r="I6" s="21"/>
      <c r="L6" s="4" t="s">
        <v>0</v>
      </c>
      <c r="M6" s="16">
        <v>300</v>
      </c>
      <c r="N6" s="16"/>
      <c r="P6" s="4" t="s">
        <v>74</v>
      </c>
      <c r="Q6" t="s">
        <v>9</v>
      </c>
      <c r="R6" s="21">
        <f>R4</f>
        <v>50</v>
      </c>
      <c r="S6" s="21"/>
      <c r="U6" s="4" t="s">
        <v>38</v>
      </c>
      <c r="V6" t="s">
        <v>9</v>
      </c>
      <c r="W6" s="26">
        <v>300</v>
      </c>
      <c r="X6" s="26"/>
      <c r="AD6" s="11" t="s">
        <v>26</v>
      </c>
      <c r="AE6" s="11"/>
      <c r="AF6" s="11"/>
      <c r="AG6" s="12"/>
      <c r="AH6" s="12">
        <f ca="1">SUM(AG5:AG6)</f>
        <v>21846.501230516817</v>
      </c>
      <c r="AN6" s="11" t="s">
        <v>26</v>
      </c>
      <c r="AO6" s="11"/>
      <c r="AP6" s="11"/>
      <c r="AQ6" s="18"/>
      <c r="AR6" s="18">
        <f ca="1">SUM(AQ5:AQ6)</f>
        <v>28.672257162823207</v>
      </c>
      <c r="AU6">
        <v>1</v>
      </c>
      <c r="AX6" t="s">
        <v>46</v>
      </c>
      <c r="AZ6"/>
      <c r="BA6" s="1" cm="1">
        <f t="array" aca="1" ref="BA6" ca="1">SUMPRODUCT(--(INDIRECT(_xlfn.CONCAT($Z$2,"_",AV$1,"[Account]"))=AX6),INDIRECT(_xlfn.CONCAT($Z$2,"_",AV$1,"[DR]"))-INDIRECT(_xlfn.CONCAT($Z$2,"_",AV$1,"[CR]")))*AU6</f>
        <v>0</v>
      </c>
      <c r="BH6" s="11" t="s">
        <v>26</v>
      </c>
      <c r="BI6" s="11"/>
      <c r="BJ6" s="11"/>
      <c r="BK6" s="18"/>
      <c r="BL6" s="18">
        <f ca="1">SUM(BK5:BK6)</f>
        <v>0</v>
      </c>
      <c r="BR6" s="11" t="s">
        <v>26</v>
      </c>
      <c r="BS6" s="11"/>
      <c r="BT6" s="11"/>
      <c r="BU6" s="28"/>
      <c r="BV6" s="28">
        <f ca="1">SUM(BU5:BU6)</f>
        <v>0</v>
      </c>
    </row>
    <row r="7" spans="1:75" x14ac:dyDescent="0.25">
      <c r="A7" s="5" t="s">
        <v>16</v>
      </c>
      <c r="B7" s="6" t="s">
        <v>0</v>
      </c>
      <c r="C7" s="7"/>
      <c r="D7" s="7">
        <v>10000</v>
      </c>
      <c r="F7" s="5" t="s">
        <v>48</v>
      </c>
      <c r="G7" s="6" t="s">
        <v>72</v>
      </c>
      <c r="H7" s="24"/>
      <c r="I7" s="24">
        <f>H6</f>
        <v>0.37037037037037035</v>
      </c>
      <c r="K7" s="5"/>
      <c r="L7" s="6" t="s">
        <v>46</v>
      </c>
      <c r="M7" s="7"/>
      <c r="N7" s="7">
        <f>M6</f>
        <v>300</v>
      </c>
      <c r="P7" s="5" t="s">
        <v>74</v>
      </c>
      <c r="Q7" s="6" t="s">
        <v>7</v>
      </c>
      <c r="R7" s="24"/>
      <c r="S7" s="24">
        <f>R6</f>
        <v>50</v>
      </c>
      <c r="U7" s="5" t="s">
        <v>38</v>
      </c>
      <c r="V7" s="6" t="s">
        <v>51</v>
      </c>
      <c r="W7" s="27"/>
      <c r="X7" s="27">
        <f>W6</f>
        <v>300</v>
      </c>
      <c r="AC7" t="s">
        <v>25</v>
      </c>
      <c r="AM7" s="9" t="s">
        <v>34</v>
      </c>
      <c r="AN7" s="9"/>
      <c r="AO7" s="9"/>
      <c r="AP7" s="11"/>
      <c r="AQ7" s="19"/>
      <c r="AR7" s="19"/>
      <c r="AS7" s="19">
        <f ca="1">SUM(AR6:AR7)</f>
        <v>28.672257162823207</v>
      </c>
      <c r="AX7" s="11" t="s">
        <v>26</v>
      </c>
      <c r="AY7" s="11"/>
      <c r="AZ7" s="11"/>
      <c r="BA7" s="12"/>
      <c r="BB7" s="12">
        <f ca="1">SUM(BA5:BA7)</f>
        <v>2608.6956521739139</v>
      </c>
      <c r="BG7" s="9" t="s">
        <v>34</v>
      </c>
      <c r="BH7" s="9"/>
      <c r="BI7" s="9"/>
      <c r="BJ7" s="11"/>
      <c r="BK7" s="19"/>
      <c r="BL7" s="19"/>
      <c r="BM7" s="19">
        <f ca="1">SUM(BL6:BL7)</f>
        <v>0</v>
      </c>
      <c r="BQ7" s="9" t="s">
        <v>34</v>
      </c>
      <c r="BR7" s="9"/>
      <c r="BS7" s="9"/>
      <c r="BT7" s="11"/>
      <c r="BU7" s="29"/>
      <c r="BV7" s="29"/>
      <c r="BW7" s="29">
        <f ca="1">SUM(BV6:BV7)</f>
        <v>0</v>
      </c>
    </row>
    <row r="8" spans="1:75" x14ac:dyDescent="0.25">
      <c r="A8" t="s">
        <v>15</v>
      </c>
      <c r="B8" t="s">
        <v>47</v>
      </c>
      <c r="C8" s="16">
        <v>120</v>
      </c>
      <c r="D8" s="16"/>
      <c r="F8" t="s">
        <v>12</v>
      </c>
      <c r="G8" t="s">
        <v>72</v>
      </c>
      <c r="H8" s="21">
        <f>-'Personal (Basis)'!$L$6</f>
        <v>9.433962264150944</v>
      </c>
      <c r="I8" s="21"/>
      <c r="K8" s="4" t="s">
        <v>50</v>
      </c>
      <c r="L8" t="s">
        <v>0</v>
      </c>
      <c r="M8" s="16">
        <f>'Personal (Basis)'!$V$12</f>
        <v>9000</v>
      </c>
      <c r="N8" s="16"/>
      <c r="R8" s="21"/>
      <c r="S8" s="21"/>
      <c r="U8" t="s">
        <v>39</v>
      </c>
      <c r="V8" t="s">
        <v>9</v>
      </c>
      <c r="W8" s="26">
        <v>700</v>
      </c>
      <c r="X8" s="26"/>
      <c r="AA8">
        <v>-1</v>
      </c>
      <c r="AD8" t="s">
        <v>6</v>
      </c>
      <c r="AG8" s="1" cm="1">
        <f t="array" aca="1" ref="AG8" ca="1">SUMPRODUCT(--(INDIRECT(_xlfn.CONCAT($Z$2,"_",AB$1,"[Account]"))=AD8),INDIRECT(_xlfn.CONCAT($Z$2,"_",AB$1,"[DR]"))-INDIRECT(_xlfn.CONCAT($Z$2,"_",AB$1,"[CR]")))*AA8</f>
        <v>800</v>
      </c>
      <c r="AW8" s="9" t="s">
        <v>34</v>
      </c>
      <c r="AX8" s="9"/>
      <c r="AY8" s="9"/>
      <c r="AZ8" s="11"/>
      <c r="BA8" s="10"/>
      <c r="BB8" s="10"/>
      <c r="BC8" s="10">
        <f ca="1">SUM(BB7:BB8)</f>
        <v>2608.6956521739139</v>
      </c>
    </row>
    <row r="9" spans="1:75" x14ac:dyDescent="0.25">
      <c r="A9" s="5" t="s">
        <v>15</v>
      </c>
      <c r="B9" s="6" t="s">
        <v>0</v>
      </c>
      <c r="C9" s="7"/>
      <c r="D9" s="7">
        <f>C8</f>
        <v>120</v>
      </c>
      <c r="F9" s="5" t="s">
        <v>12</v>
      </c>
      <c r="G9" s="6" t="s">
        <v>7</v>
      </c>
      <c r="H9" s="24"/>
      <c r="I9" s="24">
        <f>H8</f>
        <v>9.433962264150944</v>
      </c>
      <c r="K9" s="5" t="s">
        <v>50</v>
      </c>
      <c r="L9" s="6" t="s">
        <v>72</v>
      </c>
      <c r="M9" s="7"/>
      <c r="N9" s="7">
        <f>M8</f>
        <v>9000</v>
      </c>
      <c r="Q9" s="2"/>
      <c r="R9" s="21"/>
      <c r="S9" s="21"/>
      <c r="U9" s="5" t="s">
        <v>39</v>
      </c>
      <c r="V9" s="6" t="s">
        <v>51</v>
      </c>
      <c r="W9" s="27"/>
      <c r="X9" s="27">
        <f>W8</f>
        <v>700</v>
      </c>
      <c r="AD9" s="11" t="s">
        <v>33</v>
      </c>
      <c r="AE9" s="11"/>
      <c r="AF9" s="11"/>
      <c r="AG9" s="12"/>
      <c r="AH9" s="12">
        <f ca="1">-SUM(AG8:AG9)</f>
        <v>-800</v>
      </c>
      <c r="AL9" t="s">
        <v>27</v>
      </c>
      <c r="BF9" t="s">
        <v>27</v>
      </c>
      <c r="BP9" t="s">
        <v>27</v>
      </c>
    </row>
    <row r="10" spans="1:75" x14ac:dyDescent="0.25">
      <c r="A10" t="s">
        <v>14</v>
      </c>
      <c r="B10" s="4" t="s">
        <v>3</v>
      </c>
      <c r="C10" s="16">
        <v>110</v>
      </c>
      <c r="D10" s="16"/>
      <c r="K10" t="s">
        <v>10</v>
      </c>
      <c r="L10" t="s">
        <v>73</v>
      </c>
      <c r="M10" s="16">
        <v>5000</v>
      </c>
      <c r="N10" s="16"/>
      <c r="U10" t="s">
        <v>41</v>
      </c>
      <c r="V10" t="s">
        <v>51</v>
      </c>
      <c r="W10" s="25">
        <f>'Personal (Basis)'!$AN$14+'Personal (Basis)'!$AN$22</f>
        <v>1000</v>
      </c>
      <c r="AC10" s="9" t="s">
        <v>34</v>
      </c>
      <c r="AD10" s="9"/>
      <c r="AE10" s="9"/>
      <c r="AF10" s="11"/>
      <c r="AG10" s="10"/>
      <c r="AH10" s="10"/>
      <c r="AI10" s="10">
        <f ca="1">SUM(AH6:AH9)</f>
        <v>21046.501230516817</v>
      </c>
      <c r="AK10">
        <v>-1</v>
      </c>
      <c r="AM10" t="s">
        <v>72</v>
      </c>
      <c r="AR10" s="17" cm="1">
        <f t="array" aca="1" ref="AR10" ca="1">SUMPRODUCT(--(INDIRECT(_xlfn.CONCAT($Z$2,"_",AL$1,"[Account]"))=AM10),INDIRECT(_xlfn.CONCAT($Z$2,"_",AL$1,"[DR]"))-INDIRECT(_xlfn.CONCAT($Z$2,"_",AL$1,"[CR]")))*AK10</f>
        <v>28.672257162823207</v>
      </c>
      <c r="AV10" t="s">
        <v>27</v>
      </c>
      <c r="BE10">
        <v>-1</v>
      </c>
      <c r="BG10" t="s">
        <v>9</v>
      </c>
      <c r="BL10" s="17" cm="1">
        <f t="array" aca="1" ref="BL10" ca="1">SUMPRODUCT(--(INDIRECT(_xlfn.CONCAT($Z$2,"_",BF$1,"[Account]"))=BG10),INDIRECT(_xlfn.CONCAT($Z$2,"_",BF$1,"[DR]"))-INDIRECT(_xlfn.CONCAT($Z$2,"_",BF$1,"[CR]")))*BE10</f>
        <v>0</v>
      </c>
      <c r="BO10">
        <v>-1</v>
      </c>
      <c r="BQ10" t="s">
        <v>9</v>
      </c>
      <c r="BV10" s="25" cm="1">
        <f t="array" aca="1" ref="BV10" ca="1">SUMPRODUCT(--(INDIRECT(_xlfn.CONCAT($Z$2,"_",BP$1,"[Account]"))=BQ10),INDIRECT(_xlfn.CONCAT($Z$2,"_",BP$1,"[DR]"))-INDIRECT(_xlfn.CONCAT($Z$2,"_",BP$1,"[CR]")))*BO10</f>
        <v>0</v>
      </c>
    </row>
    <row r="11" spans="1:75" ht="15.75" thickBot="1" x14ac:dyDescent="0.3">
      <c r="A11" t="s">
        <v>14</v>
      </c>
      <c r="B11" t="s">
        <v>4</v>
      </c>
      <c r="C11" s="16">
        <f>D12-C10</f>
        <v>5</v>
      </c>
      <c r="D11" s="16"/>
      <c r="K11" s="5" t="s">
        <v>10</v>
      </c>
      <c r="L11" s="6" t="s">
        <v>0</v>
      </c>
      <c r="M11" s="7"/>
      <c r="N11" s="7">
        <f>M10</f>
        <v>5000</v>
      </c>
      <c r="U11" s="5" t="s">
        <v>41</v>
      </c>
      <c r="V11" s="6" t="s">
        <v>9</v>
      </c>
      <c r="W11" s="27"/>
      <c r="X11" s="27">
        <f>W10</f>
        <v>1000</v>
      </c>
      <c r="AL11" s="13"/>
      <c r="AM11" s="14" t="s">
        <v>27</v>
      </c>
      <c r="AN11" s="14"/>
      <c r="AO11" s="14"/>
      <c r="AP11" s="15"/>
      <c r="AQ11" s="20"/>
      <c r="AR11" s="20"/>
      <c r="AS11" s="20">
        <f ca="1">SUM(AR10:AR11)</f>
        <v>28.672257162823207</v>
      </c>
      <c r="AU11">
        <v>-1</v>
      </c>
      <c r="AW11" t="s">
        <v>18</v>
      </c>
      <c r="BB11" s="1" cm="1">
        <f t="array" aca="1" ref="BB11" ca="1">SUMPRODUCT(--(INDIRECT(_xlfn.CONCAT($Z$2,"_",AV$1,"[Account]"))=AW11),INDIRECT(_xlfn.CONCAT($Z$2,"_",AV$1,"[DR]"))-INDIRECT(_xlfn.CONCAT($Z$2,"_",AV$1,"[CR]")))*AU11</f>
        <v>300</v>
      </c>
      <c r="BF11" s="13"/>
      <c r="BG11" s="14" t="s">
        <v>27</v>
      </c>
      <c r="BH11" s="14"/>
      <c r="BI11" s="14"/>
      <c r="BJ11" s="15"/>
      <c r="BK11" s="20"/>
      <c r="BL11" s="20"/>
      <c r="BM11" s="20">
        <f ca="1">SUM(BL10:BL11)</f>
        <v>0</v>
      </c>
      <c r="BP11" s="13"/>
      <c r="BQ11" s="14" t="s">
        <v>27</v>
      </c>
      <c r="BR11" s="14"/>
      <c r="BS11" s="14"/>
      <c r="BT11" s="15"/>
      <c r="BU11" s="30"/>
      <c r="BV11" s="30"/>
      <c r="BW11" s="30">
        <f ca="1">SUM(BV10:BV11)</f>
        <v>0</v>
      </c>
    </row>
    <row r="12" spans="1:75" ht="15.75" thickTop="1" x14ac:dyDescent="0.25">
      <c r="A12" s="5" t="s">
        <v>14</v>
      </c>
      <c r="B12" s="6" t="s">
        <v>0</v>
      </c>
      <c r="C12" s="7"/>
      <c r="D12" s="7">
        <v>115</v>
      </c>
      <c r="G12" s="2"/>
      <c r="K12" t="s">
        <v>17</v>
      </c>
      <c r="L12" s="4" t="s">
        <v>56</v>
      </c>
      <c r="M12" s="16">
        <v>3000</v>
      </c>
      <c r="N12" s="16"/>
      <c r="Q12" s="2"/>
      <c r="U12" t="s">
        <v>43</v>
      </c>
      <c r="V12" s="4" t="s">
        <v>9</v>
      </c>
      <c r="W12" s="25">
        <f>(W4-X7-X9+W10)*40%</f>
        <v>521.73913043478274</v>
      </c>
      <c r="AB12" t="s">
        <v>27</v>
      </c>
      <c r="AL12" t="s">
        <v>35</v>
      </c>
      <c r="AS12" s="17">
        <f ca="1">AS7-AS11</f>
        <v>0</v>
      </c>
      <c r="AU12">
        <v>-1</v>
      </c>
      <c r="AW12" t="s">
        <v>9</v>
      </c>
      <c r="BB12" s="1" cm="1">
        <f t="array" aca="1" ref="BB12" ca="1">SUMPRODUCT(--(INDIRECT(_xlfn.CONCAT($Z$2,"_",AV$1,"[Account]"))=AW12),INDIRECT(_xlfn.CONCAT($Z$2,"_",AV$1,"[DR]"))-INDIRECT(_xlfn.CONCAT($Z$2,"_",AV$1,"[CR]")))*AU12</f>
        <v>0</v>
      </c>
      <c r="BF12" t="s">
        <v>35</v>
      </c>
      <c r="BM12" s="17">
        <f ca="1">BM7-BM11</f>
        <v>0</v>
      </c>
      <c r="BP12" t="s">
        <v>35</v>
      </c>
      <c r="BW12" s="25">
        <f ca="1">BW7-BW11</f>
        <v>0</v>
      </c>
    </row>
    <row r="13" spans="1:75" x14ac:dyDescent="0.25">
      <c r="A13" t="s">
        <v>13</v>
      </c>
      <c r="B13" s="4" t="s">
        <v>0</v>
      </c>
      <c r="C13" s="16">
        <v>3000</v>
      </c>
      <c r="D13" s="16"/>
      <c r="G13" s="2"/>
      <c r="K13" s="5" t="s">
        <v>17</v>
      </c>
      <c r="L13" s="6" t="s">
        <v>0</v>
      </c>
      <c r="M13" s="7"/>
      <c r="N13" s="7">
        <f>M12</f>
        <v>3000</v>
      </c>
      <c r="Q13" s="2"/>
      <c r="U13" s="5" t="s">
        <v>43</v>
      </c>
      <c r="V13" s="6" t="s">
        <v>51</v>
      </c>
      <c r="W13" s="27"/>
      <c r="X13" s="27">
        <f>W12</f>
        <v>521.73913043478274</v>
      </c>
      <c r="AA13">
        <v>-1</v>
      </c>
      <c r="AC13" t="s">
        <v>18</v>
      </c>
      <c r="AH13" s="1" cm="1">
        <f t="array" aca="1" ref="AH13" ca="1">SUMPRODUCT(--(INDIRECT(_xlfn.CONCAT($Z$2,"_",AB$1,"[Account]"))=AC13),INDIRECT(_xlfn.CONCAT($Z$2,"_",AB$1,"[DR]"))-INDIRECT(_xlfn.CONCAT($Z$2,"_",AB$1,"[CR]")))*AA13</f>
        <v>30000</v>
      </c>
      <c r="AW13" t="s">
        <v>31</v>
      </c>
    </row>
    <row r="14" spans="1:75" x14ac:dyDescent="0.25">
      <c r="A14" t="s">
        <v>13</v>
      </c>
      <c r="B14" s="2" t="s">
        <v>6</v>
      </c>
      <c r="D14" s="1">
        <v>800</v>
      </c>
      <c r="K14" t="s">
        <v>38</v>
      </c>
      <c r="L14" t="s">
        <v>0</v>
      </c>
      <c r="M14" s="16">
        <f>W6*4</f>
        <v>1200</v>
      </c>
      <c r="N14" s="16"/>
      <c r="U14" t="s">
        <v>53</v>
      </c>
      <c r="V14" t="s">
        <v>9</v>
      </c>
      <c r="W14" s="25">
        <f>W4-X7-X9+W10-X13</f>
        <v>782.60869565217399</v>
      </c>
      <c r="AC14" t="s">
        <v>9</v>
      </c>
      <c r="AU14">
        <v>-1</v>
      </c>
      <c r="AX14" t="s">
        <v>40</v>
      </c>
      <c r="BA14" s="1" cm="1">
        <f t="array" aca="1" ref="BA14" ca="1">SUMPRODUCT(--(INDIRECT(_xlfn.CONCAT($Z$2,"_",AV$1,"[Account]"))=AX14),INDIRECT(_xlfn.CONCAT($Z$2,"_",AV$1,"[DR]"))-INDIRECT(_xlfn.CONCAT($Z$2,"_",AV$1,"[CR]")))*AU14</f>
        <v>0</v>
      </c>
    </row>
    <row r="15" spans="1:75" x14ac:dyDescent="0.25">
      <c r="A15" s="5" t="s">
        <v>13</v>
      </c>
      <c r="B15" s="6" t="s">
        <v>5</v>
      </c>
      <c r="C15" s="7"/>
      <c r="D15" s="7">
        <f>C13-D14</f>
        <v>2200</v>
      </c>
      <c r="K15" t="s">
        <v>38</v>
      </c>
      <c r="L15" s="2" t="s">
        <v>56</v>
      </c>
      <c r="M15" s="16"/>
      <c r="N15" s="16">
        <f>'Personal (Basis)'!$Y$21</f>
        <v>690</v>
      </c>
      <c r="U15" s="5" t="str">
        <f>U14</f>
        <v>T15</v>
      </c>
      <c r="V15" s="6" t="s">
        <v>51</v>
      </c>
      <c r="W15" s="27"/>
      <c r="X15" s="27">
        <f>W14</f>
        <v>782.60869565217399</v>
      </c>
      <c r="AA15">
        <v>-1</v>
      </c>
      <c r="AD15" t="s">
        <v>54</v>
      </c>
      <c r="AF15" s="1" cm="1">
        <f t="array" aca="1" ref="AF15" ca="1">SUMPRODUCT(--(INDIRECT(_xlfn.CONCAT($Z$2,"_",AB$1,"[Account]"))=AD15),INDIRECT(_xlfn.CONCAT($Z$2,"_",AB$1,"[DR]"))-INDIRECT(_xlfn.CONCAT($Z$2,"_",AB$1,"[CR]")))*AA15</f>
        <v>-7600</v>
      </c>
      <c r="AU15">
        <v>-1</v>
      </c>
      <c r="AX15" t="s">
        <v>52</v>
      </c>
      <c r="BA15" s="1" cm="1">
        <f t="array" aca="1" ref="BA15" ca="1">SUMPRODUCT(--(INDIRECT(_xlfn.CONCAT($Z$2,"_",AV$1,"[Account]"))=AX15),INDIRECT(_xlfn.CONCAT($Z$2,"_",AV$1,"[DR]"))-INDIRECT(_xlfn.CONCAT($Z$2,"_",AV$1,"[CR]")))*AU15</f>
        <v>1818.6956521739139</v>
      </c>
    </row>
    <row r="16" spans="1:75" ht="15.75" customHeight="1" x14ac:dyDescent="0.25">
      <c r="A16" t="s">
        <v>48</v>
      </c>
      <c r="B16" t="s">
        <v>54</v>
      </c>
      <c r="C16" s="16">
        <v>100</v>
      </c>
      <c r="D16" s="16"/>
      <c r="G16" s="2"/>
      <c r="K16" s="5" t="s">
        <v>38</v>
      </c>
      <c r="L16" s="6" t="s">
        <v>52</v>
      </c>
      <c r="M16" s="7"/>
      <c r="N16" s="7">
        <f>M14-N15</f>
        <v>510</v>
      </c>
      <c r="Q16" s="2"/>
      <c r="V16" s="2"/>
      <c r="AA16">
        <v>-1</v>
      </c>
      <c r="AD16" t="s">
        <v>55</v>
      </c>
      <c r="AF16" s="1" cm="1">
        <f t="array" aca="1" ref="AF16" ca="1">SUMPRODUCT(--(INDIRECT(_xlfn.CONCAT($Z$2,"_",AB$1,"[Account]"))=AD16),INDIRECT(_xlfn.CONCAT($Z$2,"_",AB$1,"[DR]"))-INDIRECT(_xlfn.CONCAT($Z$2,"_",AB$1,"[CR]")))*AA16</f>
        <v>-12000</v>
      </c>
      <c r="AX16" s="9" t="s">
        <v>31</v>
      </c>
      <c r="AY16" s="9"/>
      <c r="AZ16" s="10"/>
      <c r="BA16" s="10"/>
      <c r="BB16" s="10">
        <f ca="1">SUM(BA14:BA16)</f>
        <v>1818.6956521739139</v>
      </c>
    </row>
    <row r="17" spans="1:75" ht="15.75" thickBot="1" x14ac:dyDescent="0.3">
      <c r="A17" s="5" t="s">
        <v>48</v>
      </c>
      <c r="B17" s="6" t="s">
        <v>8</v>
      </c>
      <c r="C17" s="7"/>
      <c r="D17" s="7">
        <f>C16</f>
        <v>100</v>
      </c>
      <c r="K17" t="s">
        <v>41</v>
      </c>
      <c r="L17" t="s">
        <v>56</v>
      </c>
      <c r="M17" s="1">
        <f>M6+M8-N11-N13+M14</f>
        <v>2500</v>
      </c>
      <c r="AA17">
        <v>-1</v>
      </c>
      <c r="AD17" t="s">
        <v>56</v>
      </c>
      <c r="AF17" s="1" cm="1">
        <f t="array" aca="1" ref="AF17" ca="1">SUMPRODUCT(--(INDIRECT(_xlfn.CONCAT($Z$2,"_",AB$1,"[Account]"))=AD17),INDIRECT(_xlfn.CONCAT($Z$2,"_",AB$1,"[DR]"))-INDIRECT(_xlfn.CONCAT($Z$2,"_",AB$1,"[CR]")))*AA17</f>
        <v>4755.3623188405791</v>
      </c>
      <c r="AP17" s="16"/>
      <c r="AQ17" s="21"/>
      <c r="AR17" s="21"/>
      <c r="AS17" s="21"/>
      <c r="AU17">
        <v>-1</v>
      </c>
      <c r="AV17" s="13"/>
      <c r="AW17" s="14" t="s">
        <v>27</v>
      </c>
      <c r="AX17" s="14"/>
      <c r="AY17" s="14"/>
      <c r="AZ17" s="15"/>
      <c r="BA17" s="15"/>
      <c r="BB17" s="15"/>
      <c r="BC17" s="15">
        <f ca="1">SUM(BB11:BB17)</f>
        <v>2118.6956521739139</v>
      </c>
      <c r="BJ17" s="16"/>
      <c r="BK17" s="21"/>
      <c r="BL17" s="21"/>
      <c r="BM17" s="21"/>
      <c r="BT17" s="16"/>
      <c r="BU17" s="26"/>
      <c r="BV17" s="26"/>
      <c r="BW17" s="26"/>
    </row>
    <row r="18" spans="1:75" ht="15.75" thickTop="1" x14ac:dyDescent="0.25">
      <c r="A18" t="s">
        <v>12</v>
      </c>
      <c r="B18" t="s">
        <v>0</v>
      </c>
      <c r="C18" s="16">
        <f>'Personal (Basis)'!$C$20</f>
        <v>2735.8490566037735</v>
      </c>
      <c r="D18" s="16"/>
      <c r="K18" s="5" t="s">
        <v>41</v>
      </c>
      <c r="L18" s="6" t="s">
        <v>0</v>
      </c>
      <c r="M18" s="7"/>
      <c r="N18" s="7">
        <f>M17</f>
        <v>2500</v>
      </c>
      <c r="AD18" s="9" t="s">
        <v>9</v>
      </c>
      <c r="AE18" s="9"/>
      <c r="AF18" s="10"/>
      <c r="AG18" s="10">
        <f ca="1">SUM(AF15:AF17)</f>
        <v>-14844.63768115942</v>
      </c>
      <c r="AP18" s="16"/>
      <c r="AQ18" s="21"/>
      <c r="AR18" s="21"/>
      <c r="AS18" s="21"/>
      <c r="AV18" t="s">
        <v>35</v>
      </c>
      <c r="BC18" s="1">
        <f ca="1">BC8-BC17</f>
        <v>490</v>
      </c>
      <c r="BJ18" s="16"/>
      <c r="BK18" s="21"/>
      <c r="BL18" s="21"/>
      <c r="BM18" s="21"/>
      <c r="BT18" s="16"/>
      <c r="BU18" s="26"/>
      <c r="BV18" s="26"/>
      <c r="BW18" s="26"/>
    </row>
    <row r="19" spans="1:75" x14ac:dyDescent="0.25">
      <c r="A19" t="s">
        <v>12</v>
      </c>
      <c r="B19" s="2" t="s">
        <v>54</v>
      </c>
      <c r="C19" s="16"/>
      <c r="D19" s="16">
        <f>'Personal (Basis)'!$D$20</f>
        <v>2500</v>
      </c>
      <c r="K19" t="s">
        <v>43</v>
      </c>
      <c r="L19" t="s">
        <v>0</v>
      </c>
      <c r="M19" s="1">
        <f>'Personal (Basis)'!$V$32+'Personal (Basis)'!$V$28</f>
        <v>2608.6956521739139</v>
      </c>
      <c r="AC19" t="s">
        <v>31</v>
      </c>
      <c r="AP19" s="16"/>
      <c r="AQ19" s="21"/>
      <c r="AR19" s="21"/>
      <c r="AS19" s="21"/>
      <c r="AZ19" s="16"/>
      <c r="BA19" s="16"/>
      <c r="BB19" s="16"/>
      <c r="BC19" s="16"/>
      <c r="BJ19" s="16"/>
      <c r="BK19" s="21"/>
      <c r="BL19" s="21"/>
      <c r="BM19" s="21"/>
      <c r="BT19" s="16"/>
      <c r="BU19" s="26"/>
      <c r="BV19" s="26"/>
      <c r="BW19" s="26"/>
    </row>
    <row r="20" spans="1:75" x14ac:dyDescent="0.25">
      <c r="A20" s="5" t="s">
        <v>12</v>
      </c>
      <c r="B20" s="6" t="s">
        <v>40</v>
      </c>
      <c r="C20" s="7"/>
      <c r="D20" s="7">
        <f>'Personal (Basis)'!$I$20</f>
        <v>235.84905660377353</v>
      </c>
      <c r="K20" t="s">
        <v>43</v>
      </c>
      <c r="L20" s="2" t="s">
        <v>56</v>
      </c>
      <c r="N20" s="1">
        <f>'Personal (Basis)'!$Y$28+'Personal (Basis)'!$Y$32</f>
        <v>1300</v>
      </c>
      <c r="AD20" t="s">
        <v>28</v>
      </c>
      <c r="AP20" s="16"/>
      <c r="AQ20" s="21"/>
      <c r="AR20" s="21"/>
      <c r="AS20" s="21"/>
      <c r="AZ20" s="16"/>
      <c r="BA20" s="16"/>
      <c r="BB20" s="16"/>
      <c r="BC20" s="16"/>
      <c r="BJ20" s="16"/>
      <c r="BK20" s="21"/>
      <c r="BL20" s="21"/>
      <c r="BM20" s="21"/>
      <c r="BT20" s="16"/>
      <c r="BU20" s="26"/>
      <c r="BV20" s="26"/>
      <c r="BW20" s="26"/>
    </row>
    <row r="21" spans="1:75" x14ac:dyDescent="0.25">
      <c r="A21" t="s">
        <v>11</v>
      </c>
      <c r="B21" t="s">
        <v>49</v>
      </c>
      <c r="C21" s="16">
        <v>200</v>
      </c>
      <c r="D21" s="16"/>
      <c r="K21" s="5" t="s">
        <v>43</v>
      </c>
      <c r="L21" s="6" t="s">
        <v>52</v>
      </c>
      <c r="M21" s="7"/>
      <c r="N21" s="7">
        <f>'Personal (Basis)'!$AB$28+'Personal (Basis)'!$AB$32</f>
        <v>1308.6956521739139</v>
      </c>
      <c r="AA21">
        <v>-1</v>
      </c>
      <c r="AE21" t="s">
        <v>5</v>
      </c>
      <c r="AF21" s="1" cm="1">
        <f t="array" aca="1" ref="AF21" ca="1">SUMPRODUCT(--(INDIRECT(_xlfn.CONCAT($Z$2,"_",AB$1,"[Account]"))=AE21),INDIRECT(_xlfn.CONCAT($Z$2,"_",AB$1,"[DR]"))-INDIRECT(_xlfn.CONCAT($Z$2,"_",AB$1,"[CR]")))*AA21</f>
        <v>2200</v>
      </c>
      <c r="AP21" s="16"/>
      <c r="AQ21" s="21"/>
      <c r="AR21" s="21"/>
      <c r="AS21" s="21"/>
      <c r="AZ21" s="16"/>
      <c r="BA21" s="16"/>
      <c r="BB21" s="16"/>
      <c r="BC21" s="16"/>
      <c r="BJ21" s="16"/>
      <c r="BK21" s="21"/>
      <c r="BL21" s="21"/>
      <c r="BM21" s="21"/>
      <c r="BT21" s="16"/>
      <c r="BU21" s="26"/>
      <c r="BV21" s="26"/>
      <c r="BW21" s="26"/>
    </row>
    <row r="22" spans="1:75" x14ac:dyDescent="0.25">
      <c r="A22" s="5" t="s">
        <v>11</v>
      </c>
      <c r="B22" s="6" t="s">
        <v>0</v>
      </c>
      <c r="C22" s="7"/>
      <c r="D22" s="7">
        <f>C21</f>
        <v>200</v>
      </c>
      <c r="K22" t="s">
        <v>74</v>
      </c>
      <c r="L22" t="s">
        <v>0</v>
      </c>
      <c r="AA22">
        <v>-1</v>
      </c>
      <c r="AE22" t="s">
        <v>52</v>
      </c>
      <c r="AF22" s="1" cm="1">
        <f t="array" aca="1" ref="AF22" ca="1">SUMPRODUCT(--(INDIRECT(_xlfn.CONCAT($Z$2,"_",AB$1,"[Account]"))=AE22),INDIRECT(_xlfn.CONCAT($Z$2,"_",AB$1,"[DR]"))-INDIRECT(_xlfn.CONCAT($Z$2,"_",AB$1,"[CR]")))*AA22</f>
        <v>3790.2898550724649</v>
      </c>
      <c r="AP22" s="16"/>
      <c r="AQ22" s="21"/>
      <c r="AR22" s="21"/>
      <c r="AS22" s="21"/>
      <c r="AZ22" s="16"/>
      <c r="BA22" s="16"/>
      <c r="BB22" s="16"/>
      <c r="BC22" s="16"/>
      <c r="BJ22" s="16"/>
      <c r="BK22" s="21"/>
      <c r="BL22" s="21"/>
      <c r="BM22" s="21"/>
      <c r="BT22" s="16"/>
      <c r="BU22" s="26"/>
      <c r="BV22" s="26"/>
      <c r="BW22" s="26"/>
    </row>
    <row r="23" spans="1:75" x14ac:dyDescent="0.25">
      <c r="A23" t="s">
        <v>50</v>
      </c>
      <c r="B23" t="s">
        <v>55</v>
      </c>
      <c r="C23" s="16">
        <v>12000</v>
      </c>
      <c r="D23" s="16"/>
      <c r="L23" s="2"/>
      <c r="M23" s="16"/>
      <c r="N23" s="16"/>
      <c r="AA23">
        <v>-1</v>
      </c>
      <c r="AE23" t="s">
        <v>40</v>
      </c>
      <c r="AF23" s="1" cm="1">
        <f t="array" aca="1" ref="AF23" ca="1">SUMPRODUCT(--(INDIRECT(_xlfn.CONCAT($Z$2,"_",AB$1,"[Account]"))=AE23),INDIRECT(_xlfn.CONCAT($Z$2,"_",AB$1,"[DR]"))-INDIRECT(_xlfn.CONCAT($Z$2,"_",AB$1,"[CR]")))*AA23</f>
        <v>235.84905660377353</v>
      </c>
      <c r="AP23" s="16"/>
      <c r="AQ23" s="21"/>
      <c r="AR23" s="21"/>
      <c r="AS23" s="21"/>
      <c r="AZ23" s="16"/>
      <c r="BA23" s="16"/>
      <c r="BB23" s="16"/>
      <c r="BC23" s="16"/>
      <c r="BJ23" s="16"/>
      <c r="BK23" s="21"/>
      <c r="BL23" s="21"/>
      <c r="BM23" s="21"/>
      <c r="BT23" s="16"/>
      <c r="BU23" s="26"/>
      <c r="BV23" s="26"/>
      <c r="BW23" s="26"/>
    </row>
    <row r="24" spans="1:75" x14ac:dyDescent="0.25">
      <c r="A24" s="5" t="s">
        <v>50</v>
      </c>
      <c r="B24" s="6" t="s">
        <v>0</v>
      </c>
      <c r="C24" s="7"/>
      <c r="D24" s="7">
        <f>C23</f>
        <v>12000</v>
      </c>
      <c r="AA24">
        <v>-1</v>
      </c>
      <c r="AE24" t="s">
        <v>8</v>
      </c>
      <c r="AF24" s="1" cm="1">
        <f t="array" aca="1" ref="AF24" ca="1">SUMPRODUCT(--(INDIRECT(_xlfn.CONCAT($Z$2,"_",AB$1,"[Account]"))=AE24),INDIRECT(_xlfn.CONCAT($Z$2,"_",AB$1,"[DR]"))-INDIRECT(_xlfn.CONCAT($Z$2,"_",AB$1,"[CR]")))*AA24</f>
        <v>100</v>
      </c>
      <c r="AP24" s="16"/>
      <c r="AQ24" s="21"/>
      <c r="AR24" s="21"/>
      <c r="AS24" s="21"/>
      <c r="AY24" s="22"/>
      <c r="AZ24" s="16"/>
      <c r="BA24" s="16"/>
      <c r="BB24" s="16"/>
      <c r="BC24" s="16"/>
      <c r="BJ24" s="16"/>
      <c r="BK24" s="21"/>
      <c r="BL24" s="21"/>
      <c r="BM24" s="21"/>
      <c r="BT24" s="16"/>
      <c r="BU24" s="26"/>
      <c r="BV24" s="26"/>
      <c r="BW24" s="26"/>
    </row>
    <row r="25" spans="1:75" x14ac:dyDescent="0.25">
      <c r="A25" t="s">
        <v>39</v>
      </c>
      <c r="B25" s="4" t="s">
        <v>0</v>
      </c>
      <c r="C25" s="16">
        <f>W8*5.5</f>
        <v>3850</v>
      </c>
      <c r="D25" s="16"/>
      <c r="AE25" s="9" t="s">
        <v>29</v>
      </c>
      <c r="AF25" s="10"/>
      <c r="AG25" s="10">
        <f ca="1">SUM(AF21:AF25)</f>
        <v>6326.1389116762384</v>
      </c>
      <c r="AP25" s="16"/>
      <c r="AQ25" s="21"/>
      <c r="AR25" s="21"/>
      <c r="AS25" s="21"/>
      <c r="AZ25" s="16"/>
      <c r="BA25" s="16"/>
      <c r="BB25" s="16"/>
      <c r="BC25" s="16"/>
      <c r="BJ25" s="16"/>
      <c r="BK25" s="21"/>
      <c r="BL25" s="21"/>
      <c r="BM25" s="21"/>
      <c r="BT25" s="16"/>
      <c r="BU25" s="26"/>
      <c r="BV25" s="26"/>
      <c r="BW25" s="26"/>
    </row>
    <row r="26" spans="1:75" x14ac:dyDescent="0.25">
      <c r="A26" t="s">
        <v>39</v>
      </c>
      <c r="B26" t="s">
        <v>56</v>
      </c>
      <c r="C26" s="16"/>
      <c r="D26" s="16">
        <f>'Personal (Basis)'!$D$24</f>
        <v>2146.6666666666661</v>
      </c>
      <c r="AD26" t="s">
        <v>30</v>
      </c>
      <c r="AP26" s="16"/>
      <c r="AQ26" s="21"/>
      <c r="AR26" s="21"/>
      <c r="AS26" s="21"/>
      <c r="BJ26" s="16"/>
      <c r="BK26" s="21"/>
      <c r="BL26" s="21"/>
      <c r="BM26" s="21"/>
      <c r="BT26" s="16"/>
      <c r="BU26" s="26"/>
      <c r="BV26" s="26"/>
      <c r="BW26" s="26"/>
    </row>
    <row r="27" spans="1:75" x14ac:dyDescent="0.25">
      <c r="A27" s="5" t="s">
        <v>39</v>
      </c>
      <c r="B27" s="6" t="s">
        <v>52</v>
      </c>
      <c r="C27" s="7"/>
      <c r="D27" s="7">
        <f>C25-D26</f>
        <v>1703.3333333333339</v>
      </c>
      <c r="AA27">
        <v>1</v>
      </c>
      <c r="AE27" t="s">
        <v>47</v>
      </c>
      <c r="AF27" s="1" cm="1">
        <f t="array" aca="1" ref="AF27" ca="1">SUMPRODUCT(--(INDIRECT(_xlfn.CONCAT($Z$2,"_",AB$1,"[Account]"))=AE27),INDIRECT(_xlfn.CONCAT($Z$2,"_",AB$1,"[DR]"))-INDIRECT(_xlfn.CONCAT($Z$2,"_",AB$1,"[CR]")))*AA27</f>
        <v>120</v>
      </c>
      <c r="AP27" s="16"/>
      <c r="AQ27" s="21"/>
      <c r="AR27" s="21"/>
      <c r="AS27" s="21"/>
      <c r="BJ27" s="16"/>
      <c r="BK27" s="21"/>
      <c r="BL27" s="21"/>
      <c r="BM27" s="21"/>
      <c r="BT27" s="16"/>
      <c r="BU27" s="26"/>
      <c r="BV27" s="26"/>
      <c r="BW27" s="26"/>
    </row>
    <row r="28" spans="1:75" x14ac:dyDescent="0.25">
      <c r="A28" t="s">
        <v>53</v>
      </c>
      <c r="B28" t="s">
        <v>0</v>
      </c>
      <c r="C28" s="1">
        <f>'Personal (Basis)'!$C$28</f>
        <v>4695.652173913044</v>
      </c>
      <c r="F28" t="s">
        <v>42</v>
      </c>
      <c r="H28" s="17">
        <f>SUBTOTAL(109,Personal_ETF[DR])</f>
        <v>47.540181691125092</v>
      </c>
      <c r="I28" s="17">
        <f>SUBTOTAL(109,Personal_ETF[CR])</f>
        <v>47.540181691125092</v>
      </c>
      <c r="K28" t="s">
        <v>42</v>
      </c>
      <c r="M28" s="22">
        <f>SUBTOTAL(109,Personal_USD[DR])</f>
        <v>23908.695652173912</v>
      </c>
      <c r="N28" s="22">
        <f>SUBTOTAL(109,Personal_USD[CR])</f>
        <v>23908.695652173912</v>
      </c>
      <c r="P28" t="s">
        <v>42</v>
      </c>
      <c r="R28" s="17">
        <f>SUBTOTAL(109,Personal_USDStock[DR])</f>
        <v>100</v>
      </c>
      <c r="S28" s="17">
        <f>SUBTOTAL(109,Personal_USDStock[CR])</f>
        <v>100</v>
      </c>
      <c r="U28" t="s">
        <v>42</v>
      </c>
      <c r="W28" s="25">
        <f>SUBTOTAL(109,Personal_Oranges[DR])</f>
        <v>4608.6956521739139</v>
      </c>
      <c r="X28" s="25">
        <f>SUBTOTAL(109,Personal_Oranges[CR])</f>
        <v>4608.6956521739139</v>
      </c>
      <c r="AA28">
        <v>1</v>
      </c>
      <c r="AE28" t="s">
        <v>3</v>
      </c>
      <c r="AF28" s="1" cm="1">
        <f t="array" aca="1" ref="AF28" ca="1">SUMPRODUCT(--(INDIRECT(_xlfn.CONCAT($Z$2,"_",AB$1,"[Account]"))=AE28),INDIRECT(_xlfn.CONCAT($Z$2,"_",AB$1,"[DR]"))-INDIRECT(_xlfn.CONCAT($Z$2,"_",AB$1,"[CR]")))*AA28</f>
        <v>110</v>
      </c>
    </row>
    <row r="29" spans="1:75" x14ac:dyDescent="0.25">
      <c r="A29" t="s">
        <v>53</v>
      </c>
      <c r="B29" t="s">
        <v>56</v>
      </c>
      <c r="D29" s="1">
        <f>'Personal (Basis)'!$D$28</f>
        <v>2608.695652173913</v>
      </c>
      <c r="AA29">
        <v>1</v>
      </c>
      <c r="AE29" t="s">
        <v>49</v>
      </c>
      <c r="AF29" s="1" cm="1">
        <f t="array" aca="1" ref="AF29" ca="1">SUMPRODUCT(--(INDIRECT(_xlfn.CONCAT($Z$2,"_",AB$1,"[Account]"))=AE29),INDIRECT(_xlfn.CONCAT($Z$2,"_",AB$1,"[DR]"))-INDIRECT(_xlfn.CONCAT($Z$2,"_",AB$1,"[CR]")))*AA29</f>
        <v>200</v>
      </c>
    </row>
    <row r="30" spans="1:75" x14ac:dyDescent="0.25">
      <c r="A30" s="5" t="s">
        <v>53</v>
      </c>
      <c r="B30" s="6" t="s">
        <v>52</v>
      </c>
      <c r="C30" s="7"/>
      <c r="D30" s="7">
        <f>'Personal (Basis)'!$I$28</f>
        <v>2086.9565217391309</v>
      </c>
      <c r="AA30">
        <v>1</v>
      </c>
      <c r="AE30" t="s">
        <v>4</v>
      </c>
      <c r="AF30" s="1" cm="1">
        <f t="array" aca="1" ref="AF30" ca="1">SUMPRODUCT(--(INDIRECT(_xlfn.CONCAT($Z$2,"_",AB$1,"[Account]"))=AE30),INDIRECT(_xlfn.CONCAT($Z$2,"_",AB$1,"[DR]"))-INDIRECT(_xlfn.CONCAT($Z$2,"_",AB$1,"[CR]")))*AA30</f>
        <v>5</v>
      </c>
    </row>
    <row r="31" spans="1:75" x14ac:dyDescent="0.25">
      <c r="AE31" s="9" t="s">
        <v>32</v>
      </c>
      <c r="AF31" s="10"/>
      <c r="AG31" s="10">
        <f ca="1">-SUM(AF27:AF31)</f>
        <v>-435</v>
      </c>
    </row>
    <row r="32" spans="1:75" x14ac:dyDescent="0.25">
      <c r="AD32" s="9" t="s">
        <v>31</v>
      </c>
      <c r="AE32" s="9"/>
      <c r="AF32" s="10"/>
      <c r="AG32" s="10"/>
      <c r="AH32" s="10">
        <f ca="1">SUM(AG18:AG31)</f>
        <v>-8953.4987694831816</v>
      </c>
      <c r="AI32" s="16"/>
    </row>
    <row r="33" spans="1:35" ht="15.75" thickBot="1" x14ac:dyDescent="0.3">
      <c r="AB33" s="13"/>
      <c r="AC33" s="14" t="s">
        <v>27</v>
      </c>
      <c r="AD33" s="14"/>
      <c r="AE33" s="14"/>
      <c r="AF33" s="15"/>
      <c r="AG33" s="15"/>
      <c r="AH33" s="15"/>
      <c r="AI33" s="15">
        <f ca="1">SUM(AH13:AH32)</f>
        <v>21046.50123051682</v>
      </c>
    </row>
    <row r="34" spans="1:35" ht="15.75" thickTop="1" x14ac:dyDescent="0.25">
      <c r="AB34" t="s">
        <v>35</v>
      </c>
      <c r="AI34" s="1">
        <f ca="1">AI10-AI33</f>
        <v>0</v>
      </c>
    </row>
    <row r="36" spans="1:35" x14ac:dyDescent="0.25">
      <c r="A36" t="s">
        <v>42</v>
      </c>
      <c r="C36" s="22">
        <f>SUBTOTAL(109,Personal_CAD[DR])</f>
        <v>66816.50123051682</v>
      </c>
      <c r="D36" s="22">
        <f>SUBTOTAL(109,Personal_CAD[CR])</f>
        <v>66816.50123051682</v>
      </c>
    </row>
  </sheetData>
  <mergeCells count="10">
    <mergeCell ref="A1:D2"/>
    <mergeCell ref="F1:I2"/>
    <mergeCell ref="K1:N2"/>
    <mergeCell ref="U1:X2"/>
    <mergeCell ref="BP1:BW2"/>
    <mergeCell ref="AB1:AI2"/>
    <mergeCell ref="AL1:AS2"/>
    <mergeCell ref="AV1:BC2"/>
    <mergeCell ref="P1:S2"/>
    <mergeCell ref="BF1:BM2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9EB23-6945-4733-BDCB-A131154FFEEE}">
  <dimension ref="A2:AT40"/>
  <sheetViews>
    <sheetView workbookViewId="0">
      <selection activeCell="N11" sqref="N11"/>
    </sheetView>
  </sheetViews>
  <sheetFormatPr defaultRowHeight="15" x14ac:dyDescent="0.25"/>
  <cols>
    <col min="2" max="2" width="8.7109375" customWidth="1"/>
    <col min="3" max="3" width="12.28515625" style="1" bestFit="1" customWidth="1"/>
    <col min="4" max="4" width="10.5703125" bestFit="1" customWidth="1"/>
    <col min="5" max="5" width="10.5703125" customWidth="1"/>
    <col min="6" max="6" width="9.5703125" bestFit="1" customWidth="1"/>
    <col min="7" max="7" width="10.5703125" customWidth="1"/>
    <col min="9" max="9" width="11.5703125" customWidth="1"/>
    <col min="11" max="11" width="8.7109375" customWidth="1"/>
    <col min="12" max="12" width="9.140625" style="3"/>
    <col min="13" max="13" width="11.5703125" bestFit="1" customWidth="1"/>
    <col min="14" max="14" width="10.5703125" customWidth="1"/>
    <col min="15" max="15" width="9.140625" customWidth="1"/>
    <col min="16" max="16" width="10" customWidth="1"/>
    <col min="18" max="18" width="10.5703125" customWidth="1"/>
    <col min="21" max="21" width="8.7109375" customWidth="1"/>
    <col min="22" max="22" width="10.28515625" style="3" bestFit="1" customWidth="1"/>
    <col min="23" max="23" width="10.5703125" bestFit="1" customWidth="1"/>
    <col min="25" max="25" width="9.5703125" bestFit="1" customWidth="1"/>
    <col min="26" max="26" width="10.7109375" customWidth="1"/>
    <col min="28" max="28" width="11.5703125" customWidth="1"/>
    <col min="30" max="30" width="8.7109375" customWidth="1"/>
    <col min="31" max="31" width="9.5703125" bestFit="1" customWidth="1"/>
    <col min="32" max="32" width="10.5703125" bestFit="1" customWidth="1"/>
    <col min="34" max="34" width="10.28515625" bestFit="1" customWidth="1"/>
    <col min="35" max="35" width="10.5703125" customWidth="1"/>
    <col min="37" max="37" width="12.42578125" customWidth="1"/>
    <col min="39" max="39" width="8.7109375" customWidth="1"/>
    <col min="40" max="40" width="11.42578125" style="3" customWidth="1"/>
    <col min="41" max="41" width="10.5703125" bestFit="1" customWidth="1"/>
    <col min="43" max="43" width="10.28515625" bestFit="1" customWidth="1"/>
    <col min="46" max="46" width="11.140625" customWidth="1"/>
  </cols>
  <sheetData>
    <row r="2" spans="2:46" x14ac:dyDescent="0.25">
      <c r="B2" s="55" t="s">
        <v>71</v>
      </c>
      <c r="C2" s="55"/>
      <c r="D2" s="55"/>
      <c r="E2" s="55"/>
      <c r="F2" s="55"/>
      <c r="G2" s="55"/>
      <c r="H2" s="55"/>
      <c r="I2" s="55"/>
      <c r="K2" s="55" t="s">
        <v>70</v>
      </c>
      <c r="L2" s="55"/>
      <c r="M2" s="55"/>
      <c r="N2" s="55"/>
      <c r="O2" s="55"/>
      <c r="P2" s="55"/>
      <c r="Q2" s="55"/>
      <c r="R2" s="55"/>
      <c r="U2" s="55" t="s">
        <v>69</v>
      </c>
      <c r="V2" s="55"/>
      <c r="W2" s="55"/>
      <c r="X2" s="55"/>
      <c r="Y2" s="55"/>
      <c r="Z2" s="55"/>
      <c r="AA2" s="55"/>
      <c r="AB2" s="55"/>
      <c r="AD2" s="55" t="s">
        <v>68</v>
      </c>
      <c r="AE2" s="55"/>
      <c r="AF2" s="55"/>
      <c r="AG2" s="55"/>
      <c r="AH2" s="55"/>
      <c r="AI2" s="55"/>
      <c r="AJ2" s="55"/>
      <c r="AK2" s="55"/>
      <c r="AM2" s="55" t="s">
        <v>67</v>
      </c>
      <c r="AN2" s="55"/>
      <c r="AO2" s="55"/>
      <c r="AP2" s="55"/>
      <c r="AQ2" s="55"/>
      <c r="AR2" s="55"/>
      <c r="AS2" s="55"/>
      <c r="AT2" s="55"/>
    </row>
    <row r="3" spans="2:46" x14ac:dyDescent="0.25">
      <c r="B3" s="48" t="s">
        <v>66</v>
      </c>
      <c r="C3" s="10"/>
      <c r="D3" s="9"/>
      <c r="E3" s="9"/>
      <c r="F3" s="9"/>
      <c r="G3" s="9"/>
      <c r="H3" s="9"/>
      <c r="I3" s="46"/>
      <c r="K3" s="48" t="s">
        <v>66</v>
      </c>
      <c r="L3" s="47"/>
      <c r="M3" s="9">
        <f>M5/L5</f>
        <v>265</v>
      </c>
      <c r="N3" s="9"/>
      <c r="O3" s="9"/>
      <c r="P3" s="9"/>
      <c r="Q3" s="9"/>
      <c r="R3" s="46"/>
      <c r="U3" s="48" t="s">
        <v>66</v>
      </c>
      <c r="V3" s="47"/>
      <c r="W3" s="9"/>
      <c r="X3" s="9"/>
      <c r="Y3" s="9"/>
      <c r="Z3" s="9"/>
      <c r="AA3" s="9"/>
      <c r="AB3" s="46"/>
      <c r="AD3" s="48" t="s">
        <v>66</v>
      </c>
      <c r="AE3" s="9"/>
      <c r="AF3" s="9"/>
      <c r="AG3" s="9"/>
      <c r="AH3" s="9">
        <f>AH5/AE5</f>
        <v>100</v>
      </c>
      <c r="AI3" s="9"/>
      <c r="AJ3" s="9"/>
      <c r="AK3" s="46"/>
      <c r="AM3" s="48" t="s">
        <v>66</v>
      </c>
      <c r="AN3" s="47"/>
      <c r="AO3" s="9">
        <f>AO5/AN5</f>
        <v>3.066666666666666</v>
      </c>
      <c r="AP3" s="9"/>
      <c r="AQ3" s="9">
        <f>AQ5/AN5</f>
        <v>2.2999999999999998</v>
      </c>
      <c r="AR3" s="9"/>
      <c r="AS3" s="9"/>
      <c r="AT3" s="46"/>
    </row>
    <row r="4" spans="2:46" x14ac:dyDescent="0.25">
      <c r="B4" s="34" t="s">
        <v>59</v>
      </c>
      <c r="C4" s="38" t="s">
        <v>58</v>
      </c>
      <c r="D4" s="31" t="s">
        <v>1</v>
      </c>
      <c r="E4" s="31" t="s">
        <v>36</v>
      </c>
      <c r="F4" s="31" t="s">
        <v>22</v>
      </c>
      <c r="G4" s="31" t="s">
        <v>37</v>
      </c>
      <c r="H4" s="31" t="s">
        <v>44</v>
      </c>
      <c r="I4" s="32" t="s">
        <v>57</v>
      </c>
      <c r="K4" s="34" t="s">
        <v>59</v>
      </c>
      <c r="L4" s="33" t="s">
        <v>58</v>
      </c>
      <c r="M4" s="31" t="s">
        <v>1</v>
      </c>
      <c r="N4" s="31" t="s">
        <v>36</v>
      </c>
      <c r="O4" s="31" t="s">
        <v>22</v>
      </c>
      <c r="P4" s="31" t="s">
        <v>37</v>
      </c>
      <c r="Q4" s="31" t="s">
        <v>44</v>
      </c>
      <c r="R4" s="32" t="s">
        <v>57</v>
      </c>
      <c r="U4" s="34" t="s">
        <v>59</v>
      </c>
      <c r="V4" s="33" t="s">
        <v>58</v>
      </c>
      <c r="W4" s="31" t="s">
        <v>1</v>
      </c>
      <c r="X4" s="31" t="s">
        <v>36</v>
      </c>
      <c r="Y4" s="31" t="s">
        <v>22</v>
      </c>
      <c r="Z4" s="31" t="s">
        <v>37</v>
      </c>
      <c r="AA4" s="31" t="s">
        <v>44</v>
      </c>
      <c r="AB4" s="32" t="s">
        <v>57</v>
      </c>
      <c r="AD4" s="34" t="s">
        <v>59</v>
      </c>
      <c r="AE4" s="31" t="s">
        <v>58</v>
      </c>
      <c r="AF4" s="31" t="s">
        <v>1</v>
      </c>
      <c r="AG4" s="31" t="s">
        <v>36</v>
      </c>
      <c r="AH4" s="31" t="s">
        <v>22</v>
      </c>
      <c r="AI4" s="31" t="s">
        <v>37</v>
      </c>
      <c r="AJ4" s="31" t="s">
        <v>44</v>
      </c>
      <c r="AK4" s="32" t="s">
        <v>57</v>
      </c>
      <c r="AM4" s="34" t="s">
        <v>59</v>
      </c>
      <c r="AN4" s="33" t="s">
        <v>58</v>
      </c>
      <c r="AO4" s="31" t="s">
        <v>1</v>
      </c>
      <c r="AP4" s="31" t="s">
        <v>36</v>
      </c>
      <c r="AQ4" s="31" t="s">
        <v>22</v>
      </c>
      <c r="AR4" s="31" t="s">
        <v>37</v>
      </c>
      <c r="AS4" s="31" t="s">
        <v>44</v>
      </c>
      <c r="AT4" s="32" t="s">
        <v>57</v>
      </c>
    </row>
    <row r="5" spans="2:46" x14ac:dyDescent="0.25">
      <c r="B5" s="43" t="s">
        <v>45</v>
      </c>
      <c r="C5" s="16">
        <f>Personal!$C$4</f>
        <v>30000</v>
      </c>
      <c r="D5" s="22"/>
      <c r="E5" s="22"/>
      <c r="I5" s="42"/>
      <c r="K5" s="43" t="s">
        <v>16</v>
      </c>
      <c r="L5" s="8">
        <f>M5/265</f>
        <v>37.735849056603776</v>
      </c>
      <c r="M5" s="22">
        <f>-C6</f>
        <v>10000</v>
      </c>
      <c r="N5" s="22"/>
      <c r="R5" s="42"/>
      <c r="U5" s="43" t="s">
        <v>45</v>
      </c>
      <c r="V5" s="8">
        <v>300</v>
      </c>
      <c r="W5" s="22"/>
      <c r="AB5" s="42"/>
      <c r="AC5" s="35">
        <f>V6/(V6+V13)</f>
        <v>0.06</v>
      </c>
      <c r="AD5" s="43" t="s">
        <v>10</v>
      </c>
      <c r="AE5" s="23">
        <f>Personal!$R$4*AC5</f>
        <v>3</v>
      </c>
      <c r="AF5" s="22"/>
      <c r="AH5" s="23">
        <f>-V6</f>
        <v>300</v>
      </c>
      <c r="AK5" s="42"/>
      <c r="AM5" s="43" t="s">
        <v>17</v>
      </c>
      <c r="AN5" s="8">
        <f>-V14/2.3</f>
        <v>1304.3478260869567</v>
      </c>
      <c r="AO5" s="22">
        <f>-W14</f>
        <v>4000</v>
      </c>
      <c r="AQ5" s="23">
        <f>-V14</f>
        <v>3000</v>
      </c>
      <c r="AT5" s="42"/>
    </row>
    <row r="6" spans="2:46" x14ac:dyDescent="0.25">
      <c r="B6" s="43" t="s">
        <v>16</v>
      </c>
      <c r="C6" s="16">
        <f>-Personal!$D$7</f>
        <v>-10000</v>
      </c>
      <c r="D6" s="23"/>
      <c r="E6" s="23"/>
      <c r="I6" s="42"/>
      <c r="K6" s="43" t="s">
        <v>12</v>
      </c>
      <c r="L6" s="8">
        <f>-L5*25%</f>
        <v>-9.433962264150944</v>
      </c>
      <c r="M6" s="23">
        <f>M3*L6</f>
        <v>-2500</v>
      </c>
      <c r="N6" s="23"/>
      <c r="R6" s="42"/>
      <c r="U6" s="43" t="s">
        <v>10</v>
      </c>
      <c r="V6" s="8">
        <f>-V5</f>
        <v>-300</v>
      </c>
      <c r="W6" s="23"/>
      <c r="AB6" s="42"/>
      <c r="AD6" s="43" t="s">
        <v>53</v>
      </c>
      <c r="AE6" s="23">
        <f>-AE5</f>
        <v>-3</v>
      </c>
      <c r="AF6" s="23"/>
      <c r="AH6" s="23">
        <f>AH3*AE6</f>
        <v>-300</v>
      </c>
      <c r="AK6" s="42"/>
      <c r="AM6" s="43" t="s">
        <v>38</v>
      </c>
      <c r="AN6" s="8">
        <f>-Personal!$X$7</f>
        <v>-300</v>
      </c>
      <c r="AO6" s="23">
        <f>AO3*AN6</f>
        <v>-919.99999999999977</v>
      </c>
      <c r="AQ6" s="23">
        <f>AQ3*AN6</f>
        <v>-690</v>
      </c>
      <c r="AT6" s="42"/>
    </row>
    <row r="7" spans="2:46" x14ac:dyDescent="0.25">
      <c r="B7" s="43" t="s">
        <v>15</v>
      </c>
      <c r="C7" s="16">
        <f>-Personal!$D$9</f>
        <v>-120</v>
      </c>
      <c r="I7" s="42"/>
      <c r="K7" s="43"/>
      <c r="L7" s="8"/>
      <c r="R7" s="42"/>
      <c r="U7" s="43"/>
      <c r="V7" s="8"/>
      <c r="AB7" s="42"/>
      <c r="AD7" s="43"/>
      <c r="AK7" s="42"/>
      <c r="AM7" s="43" t="s">
        <v>39</v>
      </c>
      <c r="AN7" s="8">
        <f>-Personal!$X$9</f>
        <v>-700</v>
      </c>
      <c r="AO7" s="23">
        <f>AO3*AN7</f>
        <v>-2146.6666666666661</v>
      </c>
      <c r="AQ7" s="23">
        <f>AQ3*AN7</f>
        <v>-1609.9999999999998</v>
      </c>
      <c r="AT7" s="42"/>
    </row>
    <row r="8" spans="2:46" x14ac:dyDescent="0.25">
      <c r="B8" s="43" t="s">
        <v>14</v>
      </c>
      <c r="C8" s="16">
        <f>-Personal!$D$12</f>
        <v>-115</v>
      </c>
      <c r="D8" s="23"/>
      <c r="E8" s="23"/>
      <c r="F8" s="23"/>
      <c r="G8" s="23"/>
      <c r="H8" s="23"/>
      <c r="I8" s="45"/>
      <c r="J8" s="23"/>
      <c r="K8" s="41" t="s">
        <v>42</v>
      </c>
      <c r="L8" s="40">
        <f t="shared" ref="L8:R8" si="0">SUM(L5:L7)</f>
        <v>28.301886792452834</v>
      </c>
      <c r="M8" s="40">
        <f t="shared" si="0"/>
        <v>7500</v>
      </c>
      <c r="N8" s="40">
        <f t="shared" si="0"/>
        <v>0</v>
      </c>
      <c r="O8" s="40">
        <f t="shared" si="0"/>
        <v>0</v>
      </c>
      <c r="P8" s="40">
        <f t="shared" si="0"/>
        <v>0</v>
      </c>
      <c r="Q8" s="40">
        <f t="shared" si="0"/>
        <v>0</v>
      </c>
      <c r="R8" s="39">
        <f t="shared" si="0"/>
        <v>0</v>
      </c>
      <c r="U8" s="41" t="s">
        <v>42</v>
      </c>
      <c r="V8" s="40">
        <f t="shared" ref="V8:AB8" si="1">SUM(V5:V7)</f>
        <v>0</v>
      </c>
      <c r="W8" s="40">
        <f t="shared" si="1"/>
        <v>0</v>
      </c>
      <c r="X8" s="40">
        <f t="shared" si="1"/>
        <v>0</v>
      </c>
      <c r="Y8" s="40">
        <f t="shared" si="1"/>
        <v>0</v>
      </c>
      <c r="Z8" s="40">
        <f t="shared" si="1"/>
        <v>0</v>
      </c>
      <c r="AA8" s="40">
        <f t="shared" si="1"/>
        <v>0</v>
      </c>
      <c r="AB8" s="39">
        <f t="shared" si="1"/>
        <v>0</v>
      </c>
      <c r="AD8" s="41" t="s">
        <v>42</v>
      </c>
      <c r="AE8" s="50">
        <f t="shared" ref="AE8:AK8" si="2">SUM(AE5:AE7)</f>
        <v>0</v>
      </c>
      <c r="AF8" s="50">
        <f t="shared" si="2"/>
        <v>0</v>
      </c>
      <c r="AG8" s="50">
        <f t="shared" si="2"/>
        <v>0</v>
      </c>
      <c r="AH8" s="50">
        <f t="shared" si="2"/>
        <v>0</v>
      </c>
      <c r="AI8" s="50">
        <f t="shared" si="2"/>
        <v>0</v>
      </c>
      <c r="AJ8" s="50">
        <f t="shared" si="2"/>
        <v>0</v>
      </c>
      <c r="AK8" s="49">
        <f t="shared" si="2"/>
        <v>0</v>
      </c>
      <c r="AM8" s="43" t="s">
        <v>43</v>
      </c>
      <c r="AN8" s="3">
        <f>-SUM(AN5:AN7)</f>
        <v>-304.34782608695673</v>
      </c>
      <c r="AO8" s="23">
        <f>AO3*AN8</f>
        <v>-933.33333333333371</v>
      </c>
      <c r="AQ8" s="23">
        <f>AQ3*AN8</f>
        <v>-700.00000000000045</v>
      </c>
    </row>
    <row r="9" spans="2:46" x14ac:dyDescent="0.25">
      <c r="B9" s="43" t="s">
        <v>11</v>
      </c>
      <c r="C9" s="16">
        <f>-Personal!$D$22</f>
        <v>-200</v>
      </c>
      <c r="I9" s="42"/>
      <c r="AM9" s="43"/>
      <c r="AN9" s="8"/>
      <c r="AT9" s="42"/>
    </row>
    <row r="10" spans="2:46" x14ac:dyDescent="0.25">
      <c r="B10" s="43" t="s">
        <v>50</v>
      </c>
      <c r="C10" s="16">
        <f>-Personal!$D$24</f>
        <v>-12000</v>
      </c>
      <c r="I10" s="42"/>
      <c r="K10" s="31" t="s">
        <v>65</v>
      </c>
      <c r="M10">
        <f>M12/L12</f>
        <v>270</v>
      </c>
      <c r="U10" s="48" t="s">
        <v>65</v>
      </c>
      <c r="V10" s="47"/>
      <c r="W10" s="9">
        <f>W12/V12</f>
        <v>1.3333333333333333</v>
      </c>
      <c r="X10" s="9"/>
      <c r="Y10" s="9"/>
      <c r="Z10" s="9"/>
      <c r="AA10" s="9"/>
      <c r="AB10" s="46"/>
      <c r="AM10" s="41" t="s">
        <v>42</v>
      </c>
      <c r="AN10" s="40">
        <f t="shared" ref="AN10:AT10" si="3">SUM(AN5:AN9)</f>
        <v>0</v>
      </c>
      <c r="AO10" s="50">
        <f t="shared" si="3"/>
        <v>0</v>
      </c>
      <c r="AP10" s="50">
        <f t="shared" si="3"/>
        <v>0</v>
      </c>
      <c r="AQ10" s="50">
        <f t="shared" si="3"/>
        <v>0</v>
      </c>
      <c r="AR10" s="50">
        <f t="shared" si="3"/>
        <v>0</v>
      </c>
      <c r="AS10" s="50">
        <f t="shared" si="3"/>
        <v>0</v>
      </c>
      <c r="AT10" s="49">
        <f t="shared" si="3"/>
        <v>0</v>
      </c>
    </row>
    <row r="11" spans="2:46" x14ac:dyDescent="0.25">
      <c r="B11" s="43"/>
      <c r="C11" s="16"/>
      <c r="I11" s="42"/>
      <c r="K11" s="31" t="s">
        <v>59</v>
      </c>
      <c r="L11" s="52" t="s">
        <v>58</v>
      </c>
      <c r="M11" s="31" t="s">
        <v>1</v>
      </c>
      <c r="N11" s="31" t="s">
        <v>36</v>
      </c>
      <c r="O11" s="31" t="s">
        <v>22</v>
      </c>
      <c r="P11" s="31" t="s">
        <v>37</v>
      </c>
      <c r="Q11" s="31" t="s">
        <v>44</v>
      </c>
      <c r="R11" s="31" t="s">
        <v>57</v>
      </c>
      <c r="U11" s="34" t="s">
        <v>59</v>
      </c>
      <c r="V11" s="33" t="s">
        <v>58</v>
      </c>
      <c r="W11" s="31" t="s">
        <v>1</v>
      </c>
      <c r="X11" s="31" t="s">
        <v>36</v>
      </c>
      <c r="Y11" s="31" t="s">
        <v>22</v>
      </c>
      <c r="Z11" s="31" t="s">
        <v>37</v>
      </c>
      <c r="AA11" s="31" t="s">
        <v>44</v>
      </c>
      <c r="AB11" s="32" t="s">
        <v>57</v>
      </c>
      <c r="AD11" s="48" t="s">
        <v>65</v>
      </c>
      <c r="AE11" s="9"/>
      <c r="AF11" s="9">
        <f>AF13/AE13</f>
        <v>133.33333333333331</v>
      </c>
      <c r="AG11" s="9"/>
      <c r="AH11" s="9">
        <f>AH13/AE13</f>
        <v>100</v>
      </c>
      <c r="AI11" s="9"/>
      <c r="AJ11" s="9"/>
      <c r="AK11" s="46"/>
    </row>
    <row r="12" spans="2:46" x14ac:dyDescent="0.25">
      <c r="B12" s="41" t="s">
        <v>42</v>
      </c>
      <c r="C12" s="51">
        <f t="shared" ref="C12:I12" si="4">SUM(C5:C11)</f>
        <v>7565</v>
      </c>
      <c r="D12" s="50">
        <f t="shared" si="4"/>
        <v>0</v>
      </c>
      <c r="E12" s="50">
        <f t="shared" si="4"/>
        <v>0</v>
      </c>
      <c r="F12" s="50">
        <f t="shared" si="4"/>
        <v>0</v>
      </c>
      <c r="G12" s="50">
        <f t="shared" si="4"/>
        <v>0</v>
      </c>
      <c r="H12" s="50">
        <f t="shared" si="4"/>
        <v>0</v>
      </c>
      <c r="I12" s="49">
        <f t="shared" si="4"/>
        <v>0</v>
      </c>
      <c r="K12" s="31" t="s">
        <v>48</v>
      </c>
      <c r="L12" s="8">
        <f>M12/270</f>
        <v>0.37037037037037035</v>
      </c>
      <c r="M12" s="22">
        <f>Personal!$D$17</f>
        <v>100</v>
      </c>
      <c r="U12" s="43" t="s">
        <v>50</v>
      </c>
      <c r="V12" s="8">
        <f>-C10*0.75</f>
        <v>9000</v>
      </c>
      <c r="W12" s="23">
        <f>-C10</f>
        <v>12000</v>
      </c>
      <c r="X12" s="23"/>
      <c r="Y12" s="23"/>
      <c r="Z12" s="23"/>
      <c r="AA12" s="23"/>
      <c r="AB12" s="45"/>
      <c r="AD12" s="34" t="s">
        <v>59</v>
      </c>
      <c r="AE12" s="31" t="s">
        <v>58</v>
      </c>
      <c r="AF12" s="31" t="s">
        <v>1</v>
      </c>
      <c r="AG12" s="31" t="s">
        <v>36</v>
      </c>
      <c r="AH12" s="31" t="s">
        <v>22</v>
      </c>
      <c r="AI12" s="31" t="s">
        <v>37</v>
      </c>
      <c r="AJ12" s="31" t="s">
        <v>44</v>
      </c>
      <c r="AK12" s="32" t="s">
        <v>57</v>
      </c>
      <c r="AM12" s="48" t="s">
        <v>65</v>
      </c>
      <c r="AN12" s="47"/>
      <c r="AO12" s="9">
        <f>AO14/AN14</f>
        <v>3.333333333333333</v>
      </c>
      <c r="AP12" s="9"/>
      <c r="AQ12" s="9">
        <f>AQ14/AN14</f>
        <v>2.5</v>
      </c>
      <c r="AR12" s="9"/>
      <c r="AS12" s="9"/>
      <c r="AT12" s="46"/>
    </row>
    <row r="13" spans="2:46" x14ac:dyDescent="0.25">
      <c r="L13" s="8"/>
      <c r="M13" s="22"/>
      <c r="N13" s="23"/>
      <c r="U13" s="43" t="s">
        <v>10</v>
      </c>
      <c r="V13" s="8">
        <f>-(Personal!$N$11+V6)</f>
        <v>-4700</v>
      </c>
      <c r="W13" s="23">
        <f>W10*V13</f>
        <v>-6266.6666666666661</v>
      </c>
      <c r="Y13" s="23"/>
      <c r="Z13" s="23"/>
      <c r="AA13" s="23"/>
      <c r="AB13" s="45"/>
      <c r="AC13" s="35">
        <f>V13/(V6+V13)</f>
        <v>0.94</v>
      </c>
      <c r="AD13" s="43" t="s">
        <v>10</v>
      </c>
      <c r="AE13" s="23">
        <f>Personal!$R$4*AC13</f>
        <v>47</v>
      </c>
      <c r="AF13" s="23">
        <f>-W13</f>
        <v>6266.6666666666661</v>
      </c>
      <c r="AH13" s="23">
        <f>-V13</f>
        <v>4700</v>
      </c>
      <c r="AK13" s="42"/>
      <c r="AM13" s="34" t="s">
        <v>59</v>
      </c>
      <c r="AN13" s="33" t="s">
        <v>58</v>
      </c>
      <c r="AO13" s="31" t="s">
        <v>1</v>
      </c>
      <c r="AP13" s="31" t="s">
        <v>36</v>
      </c>
      <c r="AQ13" s="31" t="s">
        <v>22</v>
      </c>
      <c r="AR13" s="31" t="s">
        <v>37</v>
      </c>
      <c r="AS13" s="31" t="s">
        <v>44</v>
      </c>
      <c r="AT13" s="32" t="s">
        <v>57</v>
      </c>
    </row>
    <row r="14" spans="2:46" x14ac:dyDescent="0.25">
      <c r="B14" s="31" t="s">
        <v>65</v>
      </c>
      <c r="C14" s="16"/>
      <c r="U14" s="43" t="s">
        <v>17</v>
      </c>
      <c r="V14" s="8">
        <f>-Personal!$N$13</f>
        <v>-3000</v>
      </c>
      <c r="W14" s="23">
        <f>W10*V14</f>
        <v>-4000</v>
      </c>
      <c r="AB14" s="42"/>
      <c r="AD14" s="43" t="s">
        <v>53</v>
      </c>
      <c r="AE14" s="23">
        <f>-(Personal!$R$6+AE6)</f>
        <v>-47</v>
      </c>
      <c r="AF14" s="23">
        <f>AF11*AE14</f>
        <v>-6266.6666666666661</v>
      </c>
      <c r="AH14" s="23">
        <f>AH11*AE14</f>
        <v>-4700</v>
      </c>
      <c r="AK14" s="42"/>
      <c r="AL14">
        <f>V15/(V15+V22)</f>
        <v>0.52</v>
      </c>
      <c r="AM14" s="43" t="s">
        <v>41</v>
      </c>
      <c r="AN14" s="8">
        <f>-($V$15+$V$22)/2.5*AL14</f>
        <v>520</v>
      </c>
      <c r="AO14" s="22">
        <f>-W15</f>
        <v>1733.3333333333333</v>
      </c>
      <c r="AQ14" s="23">
        <f>-V15</f>
        <v>1300</v>
      </c>
      <c r="AT14" s="42"/>
    </row>
    <row r="15" spans="2:46" x14ac:dyDescent="0.25">
      <c r="B15" s="31" t="s">
        <v>59</v>
      </c>
      <c r="C15" s="36" t="s">
        <v>58</v>
      </c>
      <c r="D15" s="31" t="s">
        <v>1</v>
      </c>
      <c r="E15" s="31" t="s">
        <v>36</v>
      </c>
      <c r="F15" s="31" t="s">
        <v>22</v>
      </c>
      <c r="G15" s="31" t="s">
        <v>37</v>
      </c>
      <c r="H15" s="31" t="s">
        <v>44</v>
      </c>
      <c r="I15" s="31" t="s">
        <v>57</v>
      </c>
      <c r="U15" s="43" t="s">
        <v>41</v>
      </c>
      <c r="V15" s="8">
        <f>-SUM(V12:V14)</f>
        <v>-1300</v>
      </c>
      <c r="W15" s="23">
        <f>W10*V15</f>
        <v>-1733.3333333333333</v>
      </c>
      <c r="AB15" s="42"/>
      <c r="AD15" s="43"/>
      <c r="AK15" s="42"/>
      <c r="AM15" s="43" t="s">
        <v>43</v>
      </c>
      <c r="AN15" s="8">
        <f>-(Personal!$W$12+AN8)</f>
        <v>-217.39130434782601</v>
      </c>
      <c r="AO15" s="23">
        <f>AO12*AN15</f>
        <v>-724.63768115941991</v>
      </c>
      <c r="AQ15" s="23">
        <f>AQ12*AN15</f>
        <v>-543.47826086956502</v>
      </c>
      <c r="AT15" s="42"/>
    </row>
    <row r="16" spans="2:46" x14ac:dyDescent="0.25">
      <c r="B16" t="s">
        <v>13</v>
      </c>
      <c r="C16" s="16">
        <f>Personal!$C$13</f>
        <v>3000</v>
      </c>
      <c r="U16" s="43"/>
      <c r="V16" s="8"/>
      <c r="W16" s="22"/>
      <c r="Y16" s="23"/>
      <c r="Z16" s="23"/>
      <c r="AA16" s="23"/>
      <c r="AB16" s="45"/>
      <c r="AD16" s="41" t="s">
        <v>42</v>
      </c>
      <c r="AE16" s="50">
        <f t="shared" ref="AE16:AK16" si="5">SUM(AE13:AE15)</f>
        <v>0</v>
      </c>
      <c r="AF16" s="50">
        <f t="shared" si="5"/>
        <v>0</v>
      </c>
      <c r="AG16" s="50">
        <f t="shared" si="5"/>
        <v>0</v>
      </c>
      <c r="AH16" s="50">
        <f t="shared" si="5"/>
        <v>0</v>
      </c>
      <c r="AI16" s="50">
        <f t="shared" si="5"/>
        <v>0</v>
      </c>
      <c r="AJ16" s="50">
        <f t="shared" si="5"/>
        <v>0</v>
      </c>
      <c r="AK16" s="49">
        <f t="shared" si="5"/>
        <v>0</v>
      </c>
      <c r="AM16" s="43" t="s">
        <v>53</v>
      </c>
      <c r="AN16" s="8">
        <f>-SUM(AN14:AN15)</f>
        <v>-302.60869565217399</v>
      </c>
      <c r="AO16" s="23">
        <f>AN16*AO12</f>
        <v>-1008.6956521739132</v>
      </c>
      <c r="AQ16" s="23">
        <f>AQ12*AN16</f>
        <v>-756.52173913043498</v>
      </c>
      <c r="AT16" s="42"/>
    </row>
    <row r="17" spans="1:46" x14ac:dyDescent="0.25">
      <c r="C17" s="16"/>
      <c r="D17" s="22"/>
      <c r="E17" s="23"/>
      <c r="U17" s="41" t="s">
        <v>42</v>
      </c>
      <c r="V17" s="40">
        <f t="shared" ref="V17:AB17" si="6">SUM(V12:V16)</f>
        <v>0</v>
      </c>
      <c r="W17" s="40">
        <f t="shared" si="6"/>
        <v>0</v>
      </c>
      <c r="X17" s="40">
        <f t="shared" si="6"/>
        <v>0</v>
      </c>
      <c r="Y17" s="40">
        <f t="shared" si="6"/>
        <v>0</v>
      </c>
      <c r="Z17" s="40">
        <f t="shared" si="6"/>
        <v>0</v>
      </c>
      <c r="AA17" s="40">
        <f t="shared" si="6"/>
        <v>0</v>
      </c>
      <c r="AB17" s="39">
        <f t="shared" si="6"/>
        <v>0</v>
      </c>
      <c r="AM17" s="43"/>
      <c r="AN17" s="8"/>
      <c r="AO17" s="22"/>
      <c r="AQ17" s="23"/>
      <c r="AT17" s="42"/>
    </row>
    <row r="18" spans="1:46" x14ac:dyDescent="0.25">
      <c r="B18" s="31" t="s">
        <v>64</v>
      </c>
      <c r="C18" s="16"/>
      <c r="V18" s="8"/>
      <c r="W18" s="23"/>
      <c r="X18" s="23"/>
      <c r="Y18" s="23"/>
      <c r="Z18" s="23"/>
      <c r="AA18" s="23"/>
      <c r="AB18" s="23"/>
      <c r="AM18" s="41" t="s">
        <v>42</v>
      </c>
      <c r="AN18" s="40">
        <f t="shared" ref="AN18:AT18" si="7">SUM(AN14:AN17)</f>
        <v>0</v>
      </c>
      <c r="AO18" s="40">
        <f t="shared" si="7"/>
        <v>0</v>
      </c>
      <c r="AP18" s="40">
        <f t="shared" si="7"/>
        <v>0</v>
      </c>
      <c r="AQ18" s="40">
        <f t="shared" si="7"/>
        <v>0</v>
      </c>
      <c r="AR18" s="40">
        <f t="shared" si="7"/>
        <v>0</v>
      </c>
      <c r="AS18" s="40">
        <f t="shared" si="7"/>
        <v>0</v>
      </c>
      <c r="AT18" s="39">
        <f t="shared" si="7"/>
        <v>0</v>
      </c>
    </row>
    <row r="19" spans="1:46" x14ac:dyDescent="0.25">
      <c r="B19" s="31" t="s">
        <v>59</v>
      </c>
      <c r="C19" s="36" t="s">
        <v>58</v>
      </c>
      <c r="D19" s="31" t="s">
        <v>1</v>
      </c>
      <c r="E19" s="31" t="s">
        <v>36</v>
      </c>
      <c r="F19" s="31" t="s">
        <v>22</v>
      </c>
      <c r="G19" s="31" t="s">
        <v>37</v>
      </c>
      <c r="H19" s="31" t="s">
        <v>44</v>
      </c>
      <c r="I19" s="31" t="s">
        <v>57</v>
      </c>
      <c r="U19" s="48" t="s">
        <v>64</v>
      </c>
      <c r="V19" s="47"/>
      <c r="W19" s="9">
        <f>W21/V21</f>
        <v>0.7666666666666665</v>
      </c>
      <c r="X19" s="9"/>
      <c r="Y19" s="9">
        <f>Y21/V21</f>
        <v>0.57499999999999996</v>
      </c>
      <c r="Z19" s="9"/>
      <c r="AA19" s="9"/>
      <c r="AB19" s="46"/>
    </row>
    <row r="20" spans="1:46" x14ac:dyDescent="0.25">
      <c r="B20" t="s">
        <v>12</v>
      </c>
      <c r="C20" s="16">
        <f>-L6*290</f>
        <v>2735.8490566037735</v>
      </c>
      <c r="D20" s="23">
        <f>-M6</f>
        <v>2500</v>
      </c>
      <c r="I20" s="22">
        <f>C20-D20</f>
        <v>235.84905660377353</v>
      </c>
      <c r="U20" s="34" t="s">
        <v>59</v>
      </c>
      <c r="V20" s="33" t="s">
        <v>58</v>
      </c>
      <c r="W20" s="31" t="s">
        <v>1</v>
      </c>
      <c r="X20" s="31" t="s">
        <v>36</v>
      </c>
      <c r="Y20" s="31" t="s">
        <v>22</v>
      </c>
      <c r="Z20" s="31" t="s">
        <v>37</v>
      </c>
      <c r="AA20" s="31" t="s">
        <v>44</v>
      </c>
      <c r="AB20" s="32" t="s">
        <v>57</v>
      </c>
      <c r="AM20" s="48" t="s">
        <v>64</v>
      </c>
      <c r="AN20" s="47"/>
      <c r="AO20" s="9">
        <f>AO22/AN22</f>
        <v>3.3333333333333326</v>
      </c>
      <c r="AP20" s="9"/>
      <c r="AQ20" s="9">
        <f>AQ22/AN22</f>
        <v>2.5</v>
      </c>
      <c r="AR20" s="9"/>
      <c r="AS20" s="9"/>
      <c r="AT20" s="46"/>
    </row>
    <row r="21" spans="1:46" x14ac:dyDescent="0.25">
      <c r="B21" s="31"/>
      <c r="C21" s="16"/>
      <c r="U21" s="43" t="s">
        <v>38</v>
      </c>
      <c r="V21" s="8">
        <f>Personal!$M$14</f>
        <v>1200</v>
      </c>
      <c r="W21" s="23">
        <f>-AO6</f>
        <v>919.99999999999977</v>
      </c>
      <c r="Y21" s="23">
        <f>-AQ6</f>
        <v>690</v>
      </c>
      <c r="AA21" s="23"/>
      <c r="AB21" s="45">
        <f>V21-Y21</f>
        <v>510</v>
      </c>
      <c r="AM21" s="34" t="s">
        <v>59</v>
      </c>
      <c r="AN21" s="33" t="s">
        <v>58</v>
      </c>
      <c r="AO21" s="31" t="s">
        <v>1</v>
      </c>
      <c r="AP21" s="31" t="s">
        <v>36</v>
      </c>
      <c r="AQ21" s="31" t="s">
        <v>22</v>
      </c>
      <c r="AR21" s="31" t="s">
        <v>37</v>
      </c>
      <c r="AS21" s="31" t="s">
        <v>44</v>
      </c>
      <c r="AT21" s="32" t="s">
        <v>57</v>
      </c>
    </row>
    <row r="22" spans="1:46" x14ac:dyDescent="0.25">
      <c r="B22" s="31" t="s">
        <v>63</v>
      </c>
      <c r="C22" s="44"/>
      <c r="D22">
        <f>D24/C24</f>
        <v>0.55757575757575739</v>
      </c>
      <c r="F22">
        <f>F24/C24</f>
        <v>0.4181818181818181</v>
      </c>
      <c r="U22" s="43" t="s">
        <v>41</v>
      </c>
      <c r="V22" s="8">
        <f>-(Personal!$N$18+V15)</f>
        <v>-1200</v>
      </c>
      <c r="W22" s="23">
        <f>W19*V22</f>
        <v>-919.99999999999977</v>
      </c>
      <c r="Y22" s="23">
        <f>Y19*V22</f>
        <v>-690</v>
      </c>
      <c r="AA22" s="23"/>
      <c r="AB22" s="42"/>
      <c r="AL22">
        <f>V22/(V15+V22)</f>
        <v>0.48</v>
      </c>
      <c r="AM22" s="43" t="s">
        <v>41</v>
      </c>
      <c r="AN22" s="8">
        <f>-($V$15+$V$22)/2.5*AL22</f>
        <v>480</v>
      </c>
      <c r="AO22" s="23">
        <f>W21/Y21*AQ22</f>
        <v>1599.9999999999995</v>
      </c>
      <c r="AQ22" s="23">
        <f>-V22</f>
        <v>1200</v>
      </c>
      <c r="AT22" s="42"/>
    </row>
    <row r="23" spans="1:46" x14ac:dyDescent="0.25">
      <c r="A23" s="37"/>
      <c r="B23" s="31" t="s">
        <v>59</v>
      </c>
      <c r="C23" s="36" t="s">
        <v>58</v>
      </c>
      <c r="D23" s="31" t="s">
        <v>1</v>
      </c>
      <c r="E23" s="31" t="s">
        <v>36</v>
      </c>
      <c r="F23" s="31" t="s">
        <v>22</v>
      </c>
      <c r="G23" s="31" t="s">
        <v>37</v>
      </c>
      <c r="H23" s="31" t="s">
        <v>44</v>
      </c>
      <c r="I23" s="31" t="s">
        <v>57</v>
      </c>
      <c r="U23" s="43"/>
      <c r="V23" s="8"/>
      <c r="AB23" s="42"/>
      <c r="AM23" s="43" t="s">
        <v>53</v>
      </c>
      <c r="AN23" s="8">
        <f>-(Personal!$X$15+AN16)</f>
        <v>-480</v>
      </c>
      <c r="AO23" s="23">
        <f>AO20*AN23</f>
        <v>-1599.9999999999995</v>
      </c>
      <c r="AQ23" s="23">
        <f>AQ20*AN23</f>
        <v>-1200</v>
      </c>
      <c r="AT23" s="42"/>
    </row>
    <row r="24" spans="1:46" x14ac:dyDescent="0.25">
      <c r="B24" t="s">
        <v>39</v>
      </c>
      <c r="C24" s="16">
        <f>Personal!$C$25</f>
        <v>3850</v>
      </c>
      <c r="D24" s="23">
        <f>-AO7</f>
        <v>2146.6666666666661</v>
      </c>
      <c r="F24" s="23">
        <f>-AQ7</f>
        <v>1609.9999999999998</v>
      </c>
      <c r="I24" s="22">
        <f>C24-D24</f>
        <v>1703.3333333333339</v>
      </c>
      <c r="U24" s="41" t="s">
        <v>42</v>
      </c>
      <c r="V24" s="40">
        <f t="shared" ref="V24:AB24" si="8">SUM(V21:V23)</f>
        <v>0</v>
      </c>
      <c r="W24" s="40">
        <f t="shared" si="8"/>
        <v>0</v>
      </c>
      <c r="X24" s="40">
        <f t="shared" si="8"/>
        <v>0</v>
      </c>
      <c r="Y24" s="40">
        <f t="shared" si="8"/>
        <v>0</v>
      </c>
      <c r="Z24" s="40">
        <f t="shared" si="8"/>
        <v>0</v>
      </c>
      <c r="AA24" s="40">
        <f t="shared" si="8"/>
        <v>0</v>
      </c>
      <c r="AB24" s="39">
        <f t="shared" si="8"/>
        <v>510</v>
      </c>
      <c r="AM24" s="43"/>
      <c r="AN24" s="8"/>
      <c r="AT24" s="42"/>
    </row>
    <row r="25" spans="1:46" x14ac:dyDescent="0.25">
      <c r="B25" s="31"/>
      <c r="C25" s="16"/>
      <c r="AM25" s="41" t="s">
        <v>42</v>
      </c>
      <c r="AN25" s="40">
        <f t="shared" ref="AN25:AT25" si="9">SUM(AN22:AN24)</f>
        <v>0</v>
      </c>
      <c r="AO25" s="40">
        <f t="shared" si="9"/>
        <v>0</v>
      </c>
      <c r="AP25" s="40">
        <f t="shared" si="9"/>
        <v>0</v>
      </c>
      <c r="AQ25" s="40">
        <f t="shared" si="9"/>
        <v>0</v>
      </c>
      <c r="AR25" s="40">
        <f t="shared" si="9"/>
        <v>0</v>
      </c>
      <c r="AS25" s="40">
        <f t="shared" si="9"/>
        <v>0</v>
      </c>
      <c r="AT25" s="39">
        <f t="shared" si="9"/>
        <v>0</v>
      </c>
    </row>
    <row r="26" spans="1:46" x14ac:dyDescent="0.25">
      <c r="B26" s="31" t="s">
        <v>62</v>
      </c>
      <c r="C26" s="38"/>
      <c r="D26" s="31"/>
      <c r="E26" s="31"/>
      <c r="F26" s="31"/>
      <c r="G26" s="31"/>
      <c r="H26" s="31"/>
      <c r="I26" s="31"/>
      <c r="U26" s="31" t="s">
        <v>63</v>
      </c>
    </row>
    <row r="27" spans="1:46" x14ac:dyDescent="0.25">
      <c r="A27" s="37"/>
      <c r="B27" s="31" t="s">
        <v>59</v>
      </c>
      <c r="C27" s="36" t="s">
        <v>58</v>
      </c>
      <c r="D27" s="31" t="s">
        <v>1</v>
      </c>
      <c r="E27" s="31" t="s">
        <v>36</v>
      </c>
      <c r="F27" s="31" t="s">
        <v>22</v>
      </c>
      <c r="G27" s="31" t="s">
        <v>37</v>
      </c>
      <c r="H27" s="31" t="s">
        <v>44</v>
      </c>
      <c r="I27" s="31" t="s">
        <v>57</v>
      </c>
      <c r="K27" s="22"/>
      <c r="U27" s="34" t="s">
        <v>59</v>
      </c>
      <c r="V27" s="33" t="s">
        <v>58</v>
      </c>
      <c r="W27" s="31" t="s">
        <v>1</v>
      </c>
      <c r="X27" s="31" t="s">
        <v>36</v>
      </c>
      <c r="Y27" s="31" t="s">
        <v>22</v>
      </c>
      <c r="Z27" s="31" t="s">
        <v>37</v>
      </c>
      <c r="AA27" s="31" t="s">
        <v>44</v>
      </c>
      <c r="AB27" s="32" t="s">
        <v>57</v>
      </c>
    </row>
    <row r="28" spans="1:46" x14ac:dyDescent="0.25">
      <c r="B28" t="s">
        <v>53</v>
      </c>
      <c r="C28" s="16">
        <f>-(AN23+AN16)*6</f>
        <v>4695.652173913044</v>
      </c>
      <c r="D28" s="23">
        <f>-(AO16+AO23)</f>
        <v>2608.695652173913</v>
      </c>
      <c r="F28" s="23">
        <f>-(AQ16+AQ23)</f>
        <v>1956.521739130435</v>
      </c>
      <c r="I28" s="22">
        <f>C28-D28</f>
        <v>2086.9565217391309</v>
      </c>
      <c r="T28" s="35">
        <f>AN8/(AN8+AN15)</f>
        <v>0.58333333333333359</v>
      </c>
      <c r="U28" t="s">
        <v>43</v>
      </c>
      <c r="V28" s="3">
        <f>-(AN8+AN15)*5*T28</f>
        <v>1521.7391304347839</v>
      </c>
      <c r="W28" s="23">
        <f>-AO16</f>
        <v>1008.6956521739132</v>
      </c>
      <c r="Y28" s="23">
        <f>-AQ16</f>
        <v>756.52173913043498</v>
      </c>
      <c r="AB28" s="23">
        <f>V28-Y28</f>
        <v>765.21739130434889</v>
      </c>
    </row>
    <row r="29" spans="1:46" x14ac:dyDescent="0.25">
      <c r="C29" s="16"/>
    </row>
    <row r="30" spans="1:46" x14ac:dyDescent="0.25">
      <c r="C30" s="16"/>
      <c r="U30" s="31" t="s">
        <v>62</v>
      </c>
    </row>
    <row r="31" spans="1:46" x14ac:dyDescent="0.25">
      <c r="C31" s="16"/>
      <c r="U31" s="34" t="s">
        <v>59</v>
      </c>
      <c r="V31" s="33" t="s">
        <v>58</v>
      </c>
      <c r="W31" s="31" t="s">
        <v>1</v>
      </c>
      <c r="X31" s="31" t="s">
        <v>36</v>
      </c>
      <c r="Y31" s="31" t="s">
        <v>22</v>
      </c>
      <c r="Z31" s="31" t="s">
        <v>37</v>
      </c>
      <c r="AA31" s="31" t="s">
        <v>44</v>
      </c>
      <c r="AB31" s="32" t="s">
        <v>57</v>
      </c>
    </row>
    <row r="32" spans="1:46" x14ac:dyDescent="0.25">
      <c r="C32" s="16"/>
      <c r="T32" s="35">
        <f>AN15/(AN8+AN15)</f>
        <v>0.41666666666666641</v>
      </c>
      <c r="U32" t="s">
        <v>43</v>
      </c>
      <c r="V32" s="3">
        <f>-(AN8+AN15)*5*T32</f>
        <v>1086.95652173913</v>
      </c>
      <c r="W32" s="23">
        <f>-AO15</f>
        <v>724.63768115941991</v>
      </c>
      <c r="Y32" s="23">
        <f>-AQ15</f>
        <v>543.47826086956502</v>
      </c>
      <c r="AB32" s="23">
        <f>V32-Y32</f>
        <v>543.47826086956502</v>
      </c>
    </row>
    <row r="34" spans="20:28" x14ac:dyDescent="0.25">
      <c r="U34" s="31" t="s">
        <v>61</v>
      </c>
    </row>
    <row r="35" spans="20:28" x14ac:dyDescent="0.25">
      <c r="U35" s="34" t="s">
        <v>59</v>
      </c>
      <c r="V35" s="33" t="s">
        <v>58</v>
      </c>
      <c r="W35" s="31" t="s">
        <v>1</v>
      </c>
      <c r="X35" s="31" t="s">
        <v>36</v>
      </c>
      <c r="Y35" s="31" t="s">
        <v>22</v>
      </c>
      <c r="Z35" s="31" t="s">
        <v>37</v>
      </c>
      <c r="AA35" s="31" t="s">
        <v>44</v>
      </c>
      <c r="AB35" s="32" t="s">
        <v>57</v>
      </c>
    </row>
    <row r="36" spans="20:28" x14ac:dyDescent="0.25">
      <c r="T36" s="35">
        <f>AE6/(AE6+AE14)</f>
        <v>0.06</v>
      </c>
      <c r="U36" t="s">
        <v>53</v>
      </c>
    </row>
    <row r="38" spans="20:28" x14ac:dyDescent="0.25">
      <c r="T38" s="35">
        <f>AE14/(AE6+AE14)</f>
        <v>0.94</v>
      </c>
      <c r="U38" s="31" t="s">
        <v>60</v>
      </c>
    </row>
    <row r="39" spans="20:28" x14ac:dyDescent="0.25">
      <c r="U39" s="34" t="s">
        <v>59</v>
      </c>
      <c r="V39" s="33" t="s">
        <v>58</v>
      </c>
      <c r="W39" s="31" t="s">
        <v>1</v>
      </c>
      <c r="X39" s="31" t="s">
        <v>36</v>
      </c>
      <c r="Y39" s="31" t="s">
        <v>22</v>
      </c>
      <c r="Z39" s="31" t="s">
        <v>37</v>
      </c>
      <c r="AA39" s="31" t="s">
        <v>44</v>
      </c>
      <c r="AB39" s="32" t="s">
        <v>57</v>
      </c>
    </row>
    <row r="40" spans="20:28" x14ac:dyDescent="0.25">
      <c r="U40" s="31" t="s">
        <v>53</v>
      </c>
    </row>
  </sheetData>
  <mergeCells count="5">
    <mergeCell ref="B2:I2"/>
    <mergeCell ref="K2:R2"/>
    <mergeCell ref="U2:AB2"/>
    <mergeCell ref="AD2:AK2"/>
    <mergeCell ref="AM2:A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Personal</vt:lpstr>
      <vt:lpstr>Personal (Basis)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Unrau</dc:creator>
  <cp:lastModifiedBy>Kyle Unrau</cp:lastModifiedBy>
  <dcterms:created xsi:type="dcterms:W3CDTF">2015-06-05T18:17:20Z</dcterms:created>
  <dcterms:modified xsi:type="dcterms:W3CDTF">2026-04-29T21:12:36Z</dcterms:modified>
</cp:coreProperties>
</file>
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omputer\Repositories\Finance\Accounting-Software\beta\spreadsheets\"/>
    </mc:Choice>
  </mc:AlternateContent>
  <xr:revisionPtr revIDLastSave="0" documentId="13_ncr:1_{2B17F2E3-D431-4D6A-8523-AAAC75097E14}" xr6:coauthVersionLast="47" xr6:coauthVersionMax="47" xr10:uidLastSave="{00000000-0000-0000-0000-000000000000}"/>
  <bookViews>
    <workbookView xWindow="3975" yWindow="2310" windowWidth="28620" windowHeight="15585" xr2:uid="{A2C5AED3-E025-4A1F-93E3-71B3CECCC772}"/>
  </bookViews>
  <sheets>
    <sheet name="Personal (Basis)" sheetId="1" r:id="rId1"/>
    <sheet name="OrangeCo (Basis)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2" l="1"/>
  <c r="J17" i="2"/>
  <c r="I17" i="2"/>
  <c r="O8" i="2"/>
  <c r="K8" i="2"/>
  <c r="J8" i="2"/>
  <c r="I8" i="2"/>
  <c r="H6" i="2"/>
  <c r="P5" i="2"/>
  <c r="C5" i="2"/>
  <c r="O45" i="1"/>
  <c r="C5" i="1"/>
  <c r="C6" i="1"/>
  <c r="I5" i="1" s="1"/>
  <c r="L6" i="1"/>
  <c r="C8" i="1"/>
  <c r="O8" i="1"/>
  <c r="M8" i="1"/>
  <c r="N8" i="1"/>
  <c r="S8" i="1"/>
  <c r="D13" i="1"/>
  <c r="E13" i="1"/>
  <c r="C17" i="1"/>
  <c r="M17" i="1"/>
  <c r="N17" i="1"/>
  <c r="H12" i="2" l="1"/>
  <c r="K12" i="2"/>
  <c r="H8" i="2"/>
  <c r="T5" i="1"/>
  <c r="L8" i="1"/>
  <c r="H5" i="1"/>
  <c r="K10" i="2" l="1"/>
  <c r="I3" i="1"/>
  <c r="H6" i="1"/>
  <c r="H7" i="1" s="1"/>
  <c r="H9" i="1" s="1"/>
  <c r="I7" i="1" l="1"/>
  <c r="D49" i="1" s="1"/>
  <c r="I6" i="1"/>
  <c r="C21" i="1"/>
  <c r="I9" i="1" l="1"/>
  <c r="D21" i="1"/>
  <c r="E21" i="1" s="1"/>
  <c r="H14" i="1"/>
  <c r="A53" i="1" l="1"/>
  <c r="C53" i="1" s="1"/>
  <c r="A49" i="1"/>
  <c r="C49" i="1" s="1"/>
  <c r="E49" i="1" s="1"/>
  <c r="C25" i="1" l="1"/>
  <c r="C10" i="1"/>
  <c r="C9" i="1"/>
  <c r="I13" i="1"/>
  <c r="C7" i="1"/>
  <c r="C13" i="1" l="1"/>
  <c r="S7" i="2"/>
  <c r="W7" i="1"/>
  <c r="H13" i="1"/>
  <c r="H14" i="2"/>
  <c r="L14" i="1"/>
  <c r="S6" i="2"/>
  <c r="W6" i="1"/>
  <c r="H21" i="2"/>
  <c r="L21" i="1"/>
  <c r="O12" i="1"/>
  <c r="L12" i="1"/>
  <c r="L13" i="1"/>
  <c r="H13" i="2"/>
  <c r="H15" i="2" l="1"/>
  <c r="L13" i="2"/>
  <c r="N13" i="2" s="1"/>
  <c r="L5" i="2"/>
  <c r="N5" i="2" s="1"/>
  <c r="P13" i="2"/>
  <c r="K13" i="2"/>
  <c r="L15" i="1"/>
  <c r="L17" i="1" s="1"/>
  <c r="P13" i="1"/>
  <c r="R13" i="1" s="1"/>
  <c r="P5" i="1"/>
  <c r="R5" i="1" s="1"/>
  <c r="T13" i="1"/>
  <c r="O10" i="1"/>
  <c r="W5" i="1"/>
  <c r="W8" i="1" s="1"/>
  <c r="Y5" i="1"/>
  <c r="I11" i="1"/>
  <c r="I14" i="1" s="1"/>
  <c r="H16" i="1"/>
  <c r="S5" i="2"/>
  <c r="U5" i="2"/>
  <c r="K14" i="2"/>
  <c r="T5" i="2" s="1"/>
  <c r="U3" i="2" l="1"/>
  <c r="U6" i="2" s="1"/>
  <c r="I21" i="2" s="1"/>
  <c r="T11" i="1"/>
  <c r="R6" i="1"/>
  <c r="T3" i="1"/>
  <c r="R8" i="1"/>
  <c r="R14" i="1"/>
  <c r="J47" i="1" s="1"/>
  <c r="D53" i="1"/>
  <c r="E53" i="1" s="1"/>
  <c r="I16" i="1"/>
  <c r="W10" i="1"/>
  <c r="Y3" i="1"/>
  <c r="P11" i="2"/>
  <c r="T3" i="2"/>
  <c r="T10" i="2"/>
  <c r="K17" i="2"/>
  <c r="O13" i="2"/>
  <c r="P3" i="2"/>
  <c r="N6" i="2"/>
  <c r="N8" i="2" s="1"/>
  <c r="O14" i="1"/>
  <c r="X5" i="1" s="1"/>
  <c r="O13" i="1"/>
  <c r="O15" i="1"/>
  <c r="X14" i="1" s="1"/>
  <c r="H17" i="2"/>
  <c r="U14" i="2"/>
  <c r="K15" i="2"/>
  <c r="T14" i="2" s="1"/>
  <c r="Y14" i="1"/>
  <c r="U7" i="2"/>
  <c r="S8" i="2"/>
  <c r="S10" i="2"/>
  <c r="P6" i="2" l="1"/>
  <c r="T8" i="2"/>
  <c r="T6" i="2"/>
  <c r="K21" i="2" s="1"/>
  <c r="T7" i="2"/>
  <c r="Y6" i="1"/>
  <c r="Y7" i="1"/>
  <c r="Y8" i="1"/>
  <c r="U8" i="2"/>
  <c r="U10" i="2" s="1"/>
  <c r="X3" i="1"/>
  <c r="I42" i="2"/>
  <c r="P8" i="2"/>
  <c r="O11" i="2"/>
  <c r="O16" i="2"/>
  <c r="T18" i="2"/>
  <c r="I19" i="2"/>
  <c r="J21" i="2"/>
  <c r="J24" i="2" s="1"/>
  <c r="T6" i="1"/>
  <c r="J40" i="1"/>
  <c r="L42" i="1" s="1"/>
  <c r="R16" i="1"/>
  <c r="N14" i="2"/>
  <c r="P14" i="2" s="1"/>
  <c r="S13" i="1"/>
  <c r="O17" i="1"/>
  <c r="T14" i="1"/>
  <c r="L49" i="1" l="1"/>
  <c r="O14" i="2"/>
  <c r="K49" i="2" s="1"/>
  <c r="I49" i="2"/>
  <c r="P16" i="2"/>
  <c r="L50" i="1"/>
  <c r="L52" i="1" s="1"/>
  <c r="S11" i="1"/>
  <c r="S14" i="1" s="1"/>
  <c r="O49" i="1" s="1"/>
  <c r="L43" i="1"/>
  <c r="L45" i="1" s="1"/>
  <c r="M49" i="1"/>
  <c r="T16" i="1"/>
  <c r="H22" i="2"/>
  <c r="L22" i="1"/>
  <c r="K19" i="2"/>
  <c r="K24" i="2"/>
  <c r="T8" i="1"/>
  <c r="M42" i="1"/>
  <c r="M40" i="1" s="1"/>
  <c r="M43" i="1" s="1"/>
  <c r="M45" i="1" s="1"/>
  <c r="X7" i="1"/>
  <c r="D25" i="1" s="1"/>
  <c r="X6" i="1"/>
  <c r="X8" i="1"/>
  <c r="F40" i="2"/>
  <c r="H42" i="2" s="1"/>
  <c r="H43" i="2" s="1"/>
  <c r="H45" i="2" s="1"/>
  <c r="F47" i="2"/>
  <c r="H49" i="2" s="1"/>
  <c r="H50" i="2" s="1"/>
  <c r="H52" i="2" s="1"/>
  <c r="N16" i="2"/>
  <c r="M21" i="1"/>
  <c r="Y10" i="1"/>
  <c r="K22" i="2" l="1"/>
  <c r="I40" i="2"/>
  <c r="I43" i="2" s="1"/>
  <c r="I45" i="2" s="1"/>
  <c r="J42" i="2"/>
  <c r="J45" i="2" s="1"/>
  <c r="S16" i="1"/>
  <c r="Q22" i="2"/>
  <c r="S22" i="2" s="1"/>
  <c r="U22" i="2"/>
  <c r="T22" i="2" s="1"/>
  <c r="H24" i="2"/>
  <c r="Q14" i="2"/>
  <c r="S14" i="2" s="1"/>
  <c r="I22" i="2"/>
  <c r="I24" i="2" s="1"/>
  <c r="N49" i="1"/>
  <c r="N52" i="1" s="1"/>
  <c r="M47" i="1"/>
  <c r="M50" i="1" s="1"/>
  <c r="M52" i="1" s="1"/>
  <c r="K47" i="2"/>
  <c r="K50" i="2" s="1"/>
  <c r="K52" i="2" s="1"/>
  <c r="O21" i="1"/>
  <c r="O19" i="1" s="1"/>
  <c r="O22" i="1" s="1"/>
  <c r="O24" i="1" s="1"/>
  <c r="X10" i="1"/>
  <c r="D23" i="1"/>
  <c r="E25" i="1"/>
  <c r="U22" i="1"/>
  <c r="W22" i="1" s="1"/>
  <c r="Y22" i="1"/>
  <c r="L24" i="1"/>
  <c r="U14" i="1"/>
  <c r="W14" i="1" s="1"/>
  <c r="N42" i="1"/>
  <c r="N45" i="1" s="1"/>
  <c r="O47" i="1"/>
  <c r="O50" i="1" s="1"/>
  <c r="M19" i="1"/>
  <c r="M22" i="1" s="1"/>
  <c r="M24" i="1" s="1"/>
  <c r="N21" i="1"/>
  <c r="N24" i="1" s="1"/>
  <c r="J49" i="2"/>
  <c r="J52" i="2" s="1"/>
  <c r="I47" i="2"/>
  <c r="I50" i="2" s="1"/>
  <c r="I52" i="2" s="1"/>
  <c r="Y12" i="1" l="1"/>
  <c r="X12" i="1"/>
  <c r="X22" i="1"/>
  <c r="Y20" i="1"/>
  <c r="T20" i="2"/>
  <c r="T25" i="2"/>
  <c r="D45" i="1"/>
  <c r="U20" i="2"/>
  <c r="U12" i="2"/>
  <c r="T12" i="2"/>
  <c r="O52" i="1"/>
  <c r="X20" i="1" l="1"/>
  <c r="W15" i="1" l="1"/>
  <c r="S15" i="2"/>
  <c r="U15" i="2" l="1"/>
  <c r="F33" i="2"/>
  <c r="H35" i="2" s="1"/>
  <c r="F28" i="2"/>
  <c r="H28" i="2" s="1"/>
  <c r="T15" i="2"/>
  <c r="K35" i="2" s="1"/>
  <c r="S16" i="2"/>
  <c r="S23" i="2"/>
  <c r="X15" i="1"/>
  <c r="Y15" i="1"/>
  <c r="J33" i="1"/>
  <c r="L35" i="1" s="1"/>
  <c r="J28" i="1"/>
  <c r="L28" i="1" s="1"/>
  <c r="W16" i="1"/>
  <c r="M35" i="1" l="1"/>
  <c r="M33" i="1" s="1"/>
  <c r="W23" i="1"/>
  <c r="X16" i="1"/>
  <c r="Y16" i="1"/>
  <c r="M28" i="1" s="1"/>
  <c r="U23" i="2"/>
  <c r="U25" i="2" s="1"/>
  <c r="T23" i="2"/>
  <c r="S25" i="2"/>
  <c r="K33" i="2"/>
  <c r="K38" i="2"/>
  <c r="W18" i="1"/>
  <c r="L29" i="1"/>
  <c r="N28" i="1"/>
  <c r="N31" i="1" s="1"/>
  <c r="N35" i="1"/>
  <c r="N38" i="1" s="1"/>
  <c r="L36" i="1"/>
  <c r="A37" i="1" s="1"/>
  <c r="C37" i="1" s="1"/>
  <c r="O35" i="1"/>
  <c r="X18" i="1"/>
  <c r="S18" i="2"/>
  <c r="T16" i="2"/>
  <c r="K28" i="2" s="1"/>
  <c r="U16" i="2"/>
  <c r="I28" i="2" s="1"/>
  <c r="I26" i="2" s="1"/>
  <c r="H29" i="2"/>
  <c r="H31" i="2" s="1"/>
  <c r="J28" i="2"/>
  <c r="J31" i="2" s="1"/>
  <c r="H36" i="2"/>
  <c r="H38" i="2" s="1"/>
  <c r="I35" i="2"/>
  <c r="I33" i="2" s="1"/>
  <c r="I29" i="2" l="1"/>
  <c r="I31" i="2" s="1"/>
  <c r="O33" i="1"/>
  <c r="O36" i="1" s="1"/>
  <c r="O38" i="1"/>
  <c r="L38" i="1"/>
  <c r="L31" i="1"/>
  <c r="A33" i="1"/>
  <c r="C33" i="1" s="1"/>
  <c r="A41" i="1"/>
  <c r="C41" i="1" s="1"/>
  <c r="A45" i="1"/>
  <c r="C45" i="1" s="1"/>
  <c r="E45" i="1" s="1"/>
  <c r="K36" i="2"/>
  <c r="M26" i="1"/>
  <c r="M29" i="1" s="1"/>
  <c r="M31" i="1" s="1"/>
  <c r="C29" i="1"/>
  <c r="W25" i="1"/>
  <c r="X23" i="1"/>
  <c r="X25" i="1" s="1"/>
  <c r="Y23" i="1"/>
  <c r="Y25" i="1" s="1"/>
  <c r="K31" i="2"/>
  <c r="K26" i="2"/>
  <c r="K29" i="2" s="1"/>
  <c r="Y18" i="1"/>
  <c r="O28" i="1"/>
  <c r="D29" i="1"/>
  <c r="U18" i="2"/>
  <c r="I36" i="2"/>
  <c r="I38" i="2" s="1"/>
  <c r="J35" i="2"/>
  <c r="J38" i="2" s="1"/>
  <c r="M36" i="1"/>
  <c r="M38" i="1" s="1"/>
  <c r="O26" i="1" l="1"/>
  <c r="O29" i="1" s="1"/>
  <c r="D33" i="1" s="1"/>
  <c r="E33" i="1" s="1"/>
  <c r="O31" i="1"/>
  <c r="E29" i="1"/>
  <c r="D37" i="1"/>
  <c r="E37" i="1" s="1"/>
</calcChain>
</file>

<file path=xl/sharedStrings.xml><?xml version="1.0" encoding="utf-8"?>
<sst xmlns="http://schemas.openxmlformats.org/spreadsheetml/2006/main" count="318" uniqueCount="42">
  <si>
    <t>T15</t>
  </si>
  <si>
    <t>Gain/Profit</t>
  </si>
  <si>
    <t>USD</t>
  </si>
  <si>
    <t>CAD</t>
  </si>
  <si>
    <t>Delta</t>
  </si>
  <si>
    <t>Trans.</t>
  </si>
  <si>
    <t>Lot G</t>
  </si>
  <si>
    <t>Lot F</t>
  </si>
  <si>
    <t>T14</t>
  </si>
  <si>
    <t>Lot E</t>
  </si>
  <si>
    <t>Lot D</t>
  </si>
  <si>
    <t>Total</t>
  </si>
  <si>
    <t>T12</t>
  </si>
  <si>
    <t>T13</t>
  </si>
  <si>
    <t>T11</t>
  </si>
  <si>
    <t>Lot C</t>
  </si>
  <si>
    <t>T6</t>
  </si>
  <si>
    <t>T4</t>
  </si>
  <si>
    <t>T10</t>
  </si>
  <si>
    <t>Lot B</t>
  </si>
  <si>
    <t>T9</t>
  </si>
  <si>
    <t>T8</t>
  </si>
  <si>
    <t>T5</t>
  </si>
  <si>
    <t>T7</t>
  </si>
  <si>
    <t>T3</t>
  </si>
  <si>
    <t>T2</t>
  </si>
  <si>
    <t>T1</t>
  </si>
  <si>
    <t>IS</t>
  </si>
  <si>
    <t>Lot A</t>
  </si>
  <si>
    <t>Oranges - Inventory</t>
  </si>
  <si>
    <t>USDStock - Investment Portfolio</t>
  </si>
  <si>
    <t>USD - Cash &amp; Receivables</t>
  </si>
  <si>
    <t>ETF - Investment Portfolio</t>
  </si>
  <si>
    <t>CAD - Cash</t>
  </si>
  <si>
    <t>T16</t>
  </si>
  <si>
    <t>T17</t>
  </si>
  <si>
    <t>Lot H</t>
  </si>
  <si>
    <t>Lot I</t>
  </si>
  <si>
    <t>T18</t>
  </si>
  <si>
    <t>Lot J</t>
  </si>
  <si>
    <t>Lot K</t>
  </si>
  <si>
    <t>Cost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</si>
</sst>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43" fontId="0" fillId="0" borderId="0" xfId="1" applyFont="1"/>
    <xf numFmtId="44" fontId="0" fillId="0" borderId="0" xfId="2" applyFont="1"/>
    <xf numFmtId="0" fontId="2" fillId="0" borderId="0" xfId="0" applyFont="1"/>
    <xf numFmtId="0" fontId="2" fillId="0" borderId="1" xfId="0" applyFont="1" applyBorder="1"/>
    <xf numFmtId="43" fontId="2" fillId="0" borderId="0" xfId="1" applyFont="1" applyBorder="1"/>
    <xf numFmtId="0" fontId="2" fillId="0" borderId="2" xfId="0" applyFont="1" applyBorder="1"/>
    <xf numFmtId="10" fontId="0" fillId="0" borderId="0" xfId="3" applyNumberFormat="1" applyFont="1"/>
    <xf numFmtId="43" fontId="0" fillId="0" borderId="0" xfId="0" applyNumberFormat="1"/>
    <xf numFmtId="44" fontId="0" fillId="0" borderId="0" xfId="2" applyFont="1" applyBorder="1"/>
    <xf numFmtId="44" fontId="0" fillId="0" borderId="0" xfId="0" applyNumberFormat="1"/>
    <xf numFmtId="44" fontId="2" fillId="0" borderId="0" xfId="2" applyFont="1"/>
    <xf numFmtId="164" fontId="0" fillId="0" borderId="0" xfId="3" applyNumberFormat="1" applyFont="1" applyBorder="1"/>
    <xf numFmtId="44" fontId="2" fillId="0" borderId="0" xfId="2" applyFont="1" applyBorder="1"/>
    <xf numFmtId="43" fontId="3" fillId="0" borderId="3" xfId="1" applyFont="1" applyBorder="1"/>
    <xf numFmtId="43" fontId="3" fillId="0" borderId="4" xfId="1" applyFont="1" applyBorder="1"/>
    <xf numFmtId="0" fontId="3" fillId="0" borderId="5" xfId="0" applyFont="1" applyBorder="1"/>
    <xf numFmtId="0" fontId="0" fillId="0" borderId="1" xfId="0" applyBorder="1"/>
    <xf numFmtId="43" fontId="0" fillId="0" borderId="0" xfId="1" applyFont="1" applyBorder="1"/>
    <xf numFmtId="0" fontId="0" fillId="0" borderId="2" xfId="0" applyBorder="1"/>
    <xf numFmtId="44" fontId="1" fillId="0" borderId="0" xfId="2" applyFont="1" applyBorder="1"/>
    <xf numFmtId="43" fontId="0" fillId="0" borderId="1" xfId="0" applyNumberFormat="1" applyBorder="1"/>
    <xf numFmtId="0" fontId="0" fillId="0" borderId="6" xfId="0" applyBorder="1"/>
    <xf numFmtId="0" fontId="0" fillId="0" borderId="7" xfId="0" applyBorder="1"/>
    <xf numFmtId="43" fontId="0" fillId="0" borderId="7" xfId="1" applyFont="1" applyBorder="1"/>
    <xf numFmtId="0" fontId="2" fillId="0" borderId="8" xfId="0" applyFont="1" applyBorder="1"/>
    <xf numFmtId="43" fontId="3" fillId="0" borderId="3" xfId="0" applyNumberFormat="1" applyFont="1" applyBorder="1"/>
    <xf numFmtId="43" fontId="3" fillId="0" borderId="4" xfId="0" applyNumberFormat="1" applyFont="1" applyBorder="1"/>
    <xf numFmtId="44" fontId="3" fillId="0" borderId="4" xfId="2" applyFont="1" applyBorder="1"/>
    <xf numFmtId="44" fontId="0" fillId="0" borderId="7" xfId="2" applyFont="1" applyBorder="1"/>
    <xf numFmtId="10" fontId="0" fillId="0" borderId="0" xfId="3" applyNumberFormat="1" applyFont="1" applyBorder="1"/>
    <xf numFmtId="9" fontId="0" fillId="0" borderId="0" xfId="3" applyFont="1"/>
    <xf numFmtId="44" fontId="0" fillId="0" borderId="1" xfId="0" applyNumberFormat="1" applyBorder="1"/>
    <xf numFmtId="0" fontId="0" fillId="0" borderId="9" xfId="0" applyBorder="1"/>
    <xf numFmtId="43" fontId="0" fillId="0" borderId="10" xfId="1" applyFont="1" applyBorder="1"/>
    <xf numFmtId="0" fontId="0" fillId="0" borderId="10" xfId="0" applyBorder="1"/>
    <xf numFmtId="0" fontId="0" fillId="0" borderId="11" xfId="0" applyBorder="1"/>
    <xf numFmtId="43" fontId="0" fillId="0" borderId="10" xfId="0" applyNumberFormat="1" applyBorder="1"/>
    <xf numFmtId="44" fontId="0" fillId="0" borderId="11" xfId="0" applyNumberFormat="1" applyBorder="1"/>
    <xf numFmtId="0" fontId="2" fillId="0" borderId="5" xfId="0" applyFont="1" applyBorder="1"/>
    <xf numFmtId="43" fontId="0" fillId="0" borderId="4" xfId="1" applyFont="1" applyBorder="1"/>
    <xf numFmtId="0" fontId="0" fillId="0" borderId="4" xfId="0" applyBorder="1"/>
    <xf numFmtId="0" fontId="0" fillId="0" borderId="3" xfId="0" applyBorder="1"/>
    <xf numFmtId="43" fontId="2" fillId="0" borderId="7" xfId="1" applyFont="1" applyBorder="1"/>
    <xf numFmtId="0" fontId="2" fillId="0" borderId="7" xfId="0" applyFont="1" applyBorder="1"/>
    <xf numFmtId="0" fontId="2" fillId="0" borderId="6" xfId="0" applyFont="1" applyBorder="1"/>
    <xf numFmtId="0" fontId="3" fillId="0" borderId="9" xfId="0" applyFont="1" applyBorder="1"/>
    <xf numFmtId="43" fontId="3" fillId="0" borderId="10" xfId="1" applyFont="1" applyBorder="1"/>
    <xf numFmtId="43" fontId="3" fillId="0" borderId="11" xfId="1" applyFont="1" applyBorder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omputer\Repositories\Finance\Accounting-Software\beta\spreadsheets\BetaAccounting.xlsx" TargetMode="External"/><Relationship Id="rId1" Type="http://schemas.openxmlformats.org/officeDocument/2006/relationships/externalLinkPath" Target="BetaAccoun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sonal"/>
      <sheetName val="Personal (Basis)"/>
    </sheetNames>
    <sheetDataSet>
      <sheetData sheetId="0">
        <row r="4">
          <cell r="C4">
            <v>30000</v>
          </cell>
          <cell r="R4">
            <v>50</v>
          </cell>
        </row>
        <row r="6">
          <cell r="R6">
            <v>50</v>
          </cell>
        </row>
        <row r="7">
          <cell r="D7">
            <v>10000</v>
          </cell>
          <cell r="X7">
            <v>300</v>
          </cell>
        </row>
        <row r="9">
          <cell r="D9">
            <v>120</v>
          </cell>
          <cell r="X9">
            <v>700</v>
          </cell>
        </row>
        <row r="11">
          <cell r="N11">
            <v>5000</v>
          </cell>
        </row>
        <row r="12">
          <cell r="D12">
            <v>115</v>
          </cell>
          <cell r="W12">
            <v>521.73913043478274</v>
          </cell>
        </row>
        <row r="13">
          <cell r="C13">
            <v>3000</v>
          </cell>
          <cell r="N13">
            <v>3000</v>
          </cell>
        </row>
        <row r="14">
          <cell r="M14">
            <v>1200</v>
          </cell>
        </row>
        <row r="15">
          <cell r="X15">
            <v>782.60869565217399</v>
          </cell>
        </row>
        <row r="17">
          <cell r="D17">
            <v>100</v>
          </cell>
        </row>
        <row r="18">
          <cell r="N18">
            <v>2500</v>
          </cell>
        </row>
        <row r="22">
          <cell r="D22">
            <v>200</v>
          </cell>
        </row>
        <row r="24">
          <cell r="D24">
            <v>12000</v>
          </cell>
        </row>
        <row r="25">
          <cell r="C25">
            <v>3850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9930-9F5B-4139-8C54-765172E0E6CD}">
  <dimension ref="A2:Y53"/>
  <sheetViews>
    <sheetView tabSelected="1" workbookViewId="0">
      <selection activeCell="K22" sqref="K22"/>
    </sheetView>
  </sheetViews>
  <sheetFormatPr defaultRowHeight="15" x14ac:dyDescent="0.25"/>
  <cols>
    <col min="2" max="2" width="8.7109375" customWidth="1"/>
    <col min="3" max="3" width="12.28515625" style="2" bestFit="1" customWidth="1"/>
    <col min="4" max="4" width="10.5703125" bestFit="1" customWidth="1"/>
    <col min="5" max="5" width="11" customWidth="1"/>
    <col min="7" max="7" width="8.7109375" customWidth="1"/>
    <col min="8" max="8" width="10.7109375" style="1" customWidth="1"/>
    <col min="9" max="9" width="11.5703125" bestFit="1" customWidth="1"/>
    <col min="11" max="11" width="8.7109375" customWidth="1"/>
    <col min="12" max="12" width="10.28515625" style="1" bestFit="1" customWidth="1"/>
    <col min="13" max="13" width="10.5703125" bestFit="1" customWidth="1"/>
    <col min="14" max="14" width="11.7109375" customWidth="1"/>
    <col min="15" max="15" width="10.28515625" bestFit="1" customWidth="1"/>
    <col min="17" max="17" width="8.7109375" customWidth="1"/>
    <col min="18" max="18" width="9.5703125" bestFit="1" customWidth="1"/>
    <col min="19" max="19" width="10.5703125" bestFit="1" customWidth="1"/>
    <col min="20" max="20" width="10.28515625" bestFit="1" customWidth="1"/>
    <col min="22" max="22" width="8.7109375" customWidth="1"/>
    <col min="23" max="23" width="11.42578125" style="1" customWidth="1"/>
    <col min="24" max="24" width="10.5703125" bestFit="1" customWidth="1"/>
    <col min="25" max="25" width="10.28515625" bestFit="1" customWidth="1"/>
  </cols>
  <sheetData>
    <row r="2" spans="2:25" s="49" customFormat="1" ht="26.25" customHeight="1" x14ac:dyDescent="0.25">
      <c r="B2" s="50" t="s">
        <v>33</v>
      </c>
      <c r="C2" s="50"/>
      <c r="D2" s="50"/>
      <c r="E2" s="50"/>
      <c r="G2" s="50" t="s">
        <v>32</v>
      </c>
      <c r="H2" s="50"/>
      <c r="I2" s="50"/>
      <c r="K2" s="50" t="s">
        <v>31</v>
      </c>
      <c r="L2" s="50"/>
      <c r="M2" s="50"/>
      <c r="N2" s="50"/>
      <c r="O2" s="50"/>
      <c r="Q2" s="50" t="s">
        <v>30</v>
      </c>
      <c r="R2" s="50"/>
      <c r="S2" s="50"/>
      <c r="T2" s="50"/>
      <c r="V2" s="50" t="s">
        <v>29</v>
      </c>
      <c r="W2" s="50"/>
      <c r="X2" s="50"/>
      <c r="Y2" s="50"/>
    </row>
    <row r="3" spans="2:25" x14ac:dyDescent="0.25">
      <c r="B3" s="25" t="s">
        <v>28</v>
      </c>
      <c r="C3" s="29"/>
      <c r="D3" s="23"/>
      <c r="E3" s="22"/>
      <c r="G3" s="25" t="s">
        <v>28</v>
      </c>
      <c r="H3" s="24"/>
      <c r="I3" s="22">
        <f>I5/H5</f>
        <v>265</v>
      </c>
      <c r="K3" s="25" t="s">
        <v>28</v>
      </c>
      <c r="L3" s="24"/>
      <c r="M3" s="23"/>
      <c r="N3" s="23"/>
      <c r="O3" s="22"/>
      <c r="Q3" s="25" t="s">
        <v>28</v>
      </c>
      <c r="R3" s="23"/>
      <c r="S3" s="23"/>
      <c r="T3" s="22">
        <f>T5/R5</f>
        <v>100</v>
      </c>
      <c r="V3" s="25" t="s">
        <v>28</v>
      </c>
      <c r="W3" s="24"/>
      <c r="X3" s="23">
        <f>X5/W5</f>
        <v>3.066666666666666</v>
      </c>
      <c r="Y3" s="22">
        <f>Y5/W5</f>
        <v>2.2999999999999998</v>
      </c>
    </row>
    <row r="4" spans="2:25" x14ac:dyDescent="0.25">
      <c r="B4" s="6" t="s">
        <v>5</v>
      </c>
      <c r="C4" s="13" t="s">
        <v>4</v>
      </c>
      <c r="D4" s="3" t="s">
        <v>41</v>
      </c>
      <c r="E4" s="4" t="s">
        <v>1</v>
      </c>
      <c r="G4" s="6" t="s">
        <v>5</v>
      </c>
      <c r="H4" s="5" t="s">
        <v>4</v>
      </c>
      <c r="I4" s="4" t="s">
        <v>3</v>
      </c>
      <c r="K4" s="6" t="s">
        <v>5</v>
      </c>
      <c r="L4" s="5" t="s">
        <v>4</v>
      </c>
      <c r="M4" s="3" t="s">
        <v>41</v>
      </c>
      <c r="N4" s="3" t="s">
        <v>1</v>
      </c>
      <c r="O4" s="4" t="s">
        <v>3</v>
      </c>
      <c r="Q4" s="6" t="s">
        <v>5</v>
      </c>
      <c r="R4" s="3" t="s">
        <v>4</v>
      </c>
      <c r="S4" s="3" t="s">
        <v>3</v>
      </c>
      <c r="T4" s="4" t="s">
        <v>2</v>
      </c>
      <c r="V4" s="6" t="s">
        <v>5</v>
      </c>
      <c r="W4" s="5" t="s">
        <v>4</v>
      </c>
      <c r="X4" s="3" t="s">
        <v>3</v>
      </c>
      <c r="Y4" s="4" t="s">
        <v>2</v>
      </c>
    </row>
    <row r="5" spans="2:25" x14ac:dyDescent="0.25">
      <c r="B5" s="19" t="s">
        <v>27</v>
      </c>
      <c r="C5" s="9">
        <f>[1]Personal!$C$4</f>
        <v>30000</v>
      </c>
      <c r="D5" s="10"/>
      <c r="E5" s="17"/>
      <c r="G5" s="19" t="s">
        <v>26</v>
      </c>
      <c r="H5" s="18">
        <f>I5/265</f>
        <v>37.735849056603776</v>
      </c>
      <c r="I5" s="32">
        <f>-C6</f>
        <v>10000</v>
      </c>
      <c r="K5" s="19" t="s">
        <v>27</v>
      </c>
      <c r="L5" s="18">
        <v>300</v>
      </c>
      <c r="O5" s="32"/>
      <c r="P5" s="7">
        <f>L6/(L6+L13)</f>
        <v>0.06</v>
      </c>
      <c r="Q5" s="19" t="s">
        <v>20</v>
      </c>
      <c r="R5" s="8">
        <f>[1]Personal!$R$4*P5</f>
        <v>3</v>
      </c>
      <c r="S5" s="10"/>
      <c r="T5" s="21">
        <f>-L6</f>
        <v>300</v>
      </c>
      <c r="V5" s="19" t="s">
        <v>18</v>
      </c>
      <c r="W5" s="18">
        <f>-L14/2.3</f>
        <v>1304.3478260869567</v>
      </c>
      <c r="X5" s="10">
        <f>-O14</f>
        <v>4000</v>
      </c>
      <c r="Y5" s="21">
        <f>-L14</f>
        <v>3000</v>
      </c>
    </row>
    <row r="6" spans="2:25" x14ac:dyDescent="0.25">
      <c r="B6" s="19" t="s">
        <v>26</v>
      </c>
      <c r="C6" s="9">
        <f>-[1]Personal!$D$7</f>
        <v>-10000</v>
      </c>
      <c r="D6" s="8"/>
      <c r="E6" s="17"/>
      <c r="G6" s="19" t="s">
        <v>16</v>
      </c>
      <c r="H6" s="18">
        <f>-H5*25%</f>
        <v>-9.433962264150944</v>
      </c>
      <c r="I6" s="21">
        <f>I3*H6</f>
        <v>-2500</v>
      </c>
      <c r="K6" s="19" t="s">
        <v>20</v>
      </c>
      <c r="L6" s="18">
        <f>-L5</f>
        <v>-300</v>
      </c>
      <c r="O6" s="21"/>
      <c r="Q6" s="19" t="s">
        <v>34</v>
      </c>
      <c r="R6" s="8">
        <f>-R5</f>
        <v>-3</v>
      </c>
      <c r="S6" s="8"/>
      <c r="T6" s="21">
        <f>T3*R6</f>
        <v>-300</v>
      </c>
      <c r="V6" s="19" t="s">
        <v>14</v>
      </c>
      <c r="W6" s="18">
        <f>-[1]Personal!$X$7</f>
        <v>-300</v>
      </c>
      <c r="X6" s="8">
        <f>X3*W6</f>
        <v>-919.99999999999977</v>
      </c>
      <c r="Y6" s="21">
        <f>Y3*W6</f>
        <v>-690</v>
      </c>
    </row>
    <row r="7" spans="2:25" x14ac:dyDescent="0.25">
      <c r="B7" s="19" t="s">
        <v>25</v>
      </c>
      <c r="C7" s="9">
        <f>-[1]Personal!$D$9</f>
        <v>-120</v>
      </c>
      <c r="E7" s="17"/>
      <c r="G7" s="19" t="s">
        <v>38</v>
      </c>
      <c r="H7" s="18">
        <f>-SUM(H5:H6)</f>
        <v>-28.301886792452834</v>
      </c>
      <c r="I7" s="21">
        <f>I3*H7</f>
        <v>-7500.0000000000009</v>
      </c>
      <c r="K7" s="33"/>
      <c r="L7" s="34"/>
      <c r="M7" s="35"/>
      <c r="N7" s="35"/>
      <c r="O7" s="36"/>
      <c r="Q7" s="19"/>
      <c r="T7" s="17"/>
      <c r="V7" s="19" t="s">
        <v>12</v>
      </c>
      <c r="W7" s="18">
        <f>-[1]Personal!$X$9</f>
        <v>-700</v>
      </c>
      <c r="X7" s="8">
        <f>X3*W7</f>
        <v>-2146.6666666666661</v>
      </c>
      <c r="Y7" s="21">
        <f>Y3*W7</f>
        <v>-1609.9999999999998</v>
      </c>
    </row>
    <row r="8" spans="2:25" x14ac:dyDescent="0.25">
      <c r="B8" s="19" t="s">
        <v>24</v>
      </c>
      <c r="C8" s="9">
        <f>-[1]Personal!$D$12</f>
        <v>-115</v>
      </c>
      <c r="D8" s="8"/>
      <c r="E8" s="21"/>
      <c r="F8" s="8"/>
      <c r="G8" s="19"/>
      <c r="H8" s="18"/>
      <c r="I8" s="17"/>
      <c r="K8" s="16" t="s">
        <v>11</v>
      </c>
      <c r="L8" s="15">
        <f>SUM(L5:L7)</f>
        <v>0</v>
      </c>
      <c r="M8" s="15">
        <f>SUM(M5:M7)</f>
        <v>0</v>
      </c>
      <c r="N8" s="15">
        <f>SUM(N5:N7)</f>
        <v>0</v>
      </c>
      <c r="O8" s="14">
        <f>SUM(O5:O7)</f>
        <v>0</v>
      </c>
      <c r="Q8" s="16" t="s">
        <v>11</v>
      </c>
      <c r="R8" s="27">
        <f>SUM(R5:R7)</f>
        <v>0</v>
      </c>
      <c r="S8" s="27">
        <f>SUM(S5:S7)</f>
        <v>0</v>
      </c>
      <c r="T8" s="26">
        <f>SUM(T5:T7)</f>
        <v>0</v>
      </c>
      <c r="V8" s="19" t="s">
        <v>8</v>
      </c>
      <c r="W8" s="18">
        <f>-SUM(W5:W7)</f>
        <v>-304.34782608695673</v>
      </c>
      <c r="X8" s="8">
        <f>X3*W8</f>
        <v>-933.33333333333371</v>
      </c>
      <c r="Y8" s="21">
        <f>Y3*W8</f>
        <v>-700.00000000000045</v>
      </c>
    </row>
    <row r="9" spans="2:25" x14ac:dyDescent="0.25">
      <c r="B9" s="19" t="s">
        <v>23</v>
      </c>
      <c r="C9" s="9">
        <f>-[1]Personal!$D$22</f>
        <v>-200</v>
      </c>
      <c r="E9" s="17"/>
      <c r="G9" s="16" t="s">
        <v>11</v>
      </c>
      <c r="H9" s="15">
        <f>SUM(H5:H8)</f>
        <v>0</v>
      </c>
      <c r="I9" s="14">
        <f>SUM(I5:I8)</f>
        <v>0</v>
      </c>
      <c r="L9" s="18"/>
      <c r="V9" s="19"/>
      <c r="W9" s="18"/>
      <c r="Y9" s="17"/>
    </row>
    <row r="10" spans="2:25" x14ac:dyDescent="0.25">
      <c r="B10" s="19" t="s">
        <v>21</v>
      </c>
      <c r="C10" s="9">
        <f>-[1]Personal!$D$24</f>
        <v>-12000</v>
      </c>
      <c r="E10" s="17"/>
      <c r="K10" s="25" t="s">
        <v>19</v>
      </c>
      <c r="L10" s="24"/>
      <c r="M10" s="23"/>
      <c r="N10" s="23"/>
      <c r="O10" s="22">
        <f>O12/L12</f>
        <v>1.3333333333333333</v>
      </c>
      <c r="V10" s="16" t="s">
        <v>11</v>
      </c>
      <c r="W10" s="15">
        <f>SUM(W5:W9)</f>
        <v>0</v>
      </c>
      <c r="X10" s="27">
        <f>SUM(X5:X9)</f>
        <v>0</v>
      </c>
      <c r="Y10" s="26">
        <f>SUM(Y5:Y9)</f>
        <v>0</v>
      </c>
    </row>
    <row r="11" spans="2:25" x14ac:dyDescent="0.25">
      <c r="B11" s="19"/>
      <c r="G11" s="25" t="s">
        <v>19</v>
      </c>
      <c r="H11" s="24"/>
      <c r="I11" s="22">
        <f>I13/H13</f>
        <v>270</v>
      </c>
      <c r="K11" s="6" t="s">
        <v>5</v>
      </c>
      <c r="L11" s="5" t="s">
        <v>4</v>
      </c>
      <c r="M11" s="3" t="s">
        <v>41</v>
      </c>
      <c r="N11" s="3" t="s">
        <v>1</v>
      </c>
      <c r="O11" s="4" t="s">
        <v>3</v>
      </c>
      <c r="Q11" s="25" t="s">
        <v>19</v>
      </c>
      <c r="R11" s="23"/>
      <c r="S11" s="23">
        <f>S13/R13</f>
        <v>133.33333333333331</v>
      </c>
      <c r="T11" s="22">
        <f>T13/R13</f>
        <v>100</v>
      </c>
    </row>
    <row r="12" spans="2:25" x14ac:dyDescent="0.25">
      <c r="B12" s="19"/>
      <c r="C12" s="9"/>
      <c r="E12" s="17"/>
      <c r="G12" s="6" t="s">
        <v>5</v>
      </c>
      <c r="H12" s="5" t="s">
        <v>4</v>
      </c>
      <c r="I12" s="4" t="s">
        <v>3</v>
      </c>
      <c r="K12" s="19" t="s">
        <v>21</v>
      </c>
      <c r="L12" s="18">
        <f>-C10*0.75</f>
        <v>9000</v>
      </c>
      <c r="M12" s="8"/>
      <c r="N12" s="8"/>
      <c r="O12" s="21">
        <f>-C10</f>
        <v>12000</v>
      </c>
      <c r="Q12" s="6" t="s">
        <v>5</v>
      </c>
      <c r="R12" s="3" t="s">
        <v>4</v>
      </c>
      <c r="S12" s="3" t="s">
        <v>3</v>
      </c>
      <c r="T12" s="4" t="s">
        <v>2</v>
      </c>
      <c r="V12" s="25" t="s">
        <v>19</v>
      </c>
      <c r="W12" s="24"/>
      <c r="X12" s="23">
        <f>X14/W14</f>
        <v>3.333333333333333</v>
      </c>
      <c r="Y12" s="22">
        <f>Y14/W14</f>
        <v>2.5</v>
      </c>
    </row>
    <row r="13" spans="2:25" x14ac:dyDescent="0.25">
      <c r="B13" s="16" t="s">
        <v>11</v>
      </c>
      <c r="C13" s="28">
        <f>SUM(C5:C12)</f>
        <v>7565</v>
      </c>
      <c r="D13" s="27">
        <f>SUM(D5:D12)</f>
        <v>0</v>
      </c>
      <c r="E13" s="26">
        <f>SUM(E5:E12)</f>
        <v>0</v>
      </c>
      <c r="G13" s="19" t="s">
        <v>22</v>
      </c>
      <c r="H13" s="18">
        <f>I13/270</f>
        <v>0.37037037037037035</v>
      </c>
      <c r="I13" s="32">
        <f>[1]Personal!$D$17</f>
        <v>100</v>
      </c>
      <c r="K13" s="19" t="s">
        <v>20</v>
      </c>
      <c r="L13" s="18">
        <f>-([1]Personal!$N$11+L6)</f>
        <v>-4700</v>
      </c>
      <c r="M13" s="8"/>
      <c r="N13" s="8"/>
      <c r="O13" s="21">
        <f>O10*L13</f>
        <v>-6266.6666666666661</v>
      </c>
      <c r="P13" s="7">
        <f>L13/(L6+L13)</f>
        <v>0.94</v>
      </c>
      <c r="Q13" s="19" t="s">
        <v>20</v>
      </c>
      <c r="R13" s="8">
        <f>[1]Personal!$R$4*P13</f>
        <v>47</v>
      </c>
      <c r="S13" s="8">
        <f>-O13</f>
        <v>6266.6666666666661</v>
      </c>
      <c r="T13" s="21">
        <f>-L13</f>
        <v>4700</v>
      </c>
      <c r="V13" s="6" t="s">
        <v>5</v>
      </c>
      <c r="W13" s="5" t="s">
        <v>4</v>
      </c>
      <c r="X13" s="3" t="s">
        <v>3</v>
      </c>
      <c r="Y13" s="4" t="s">
        <v>2</v>
      </c>
    </row>
    <row r="14" spans="2:25" x14ac:dyDescent="0.25">
      <c r="G14" s="19" t="s">
        <v>38</v>
      </c>
      <c r="H14" s="18">
        <f>-([1]Personal!$H$10+H7)</f>
        <v>28.301886792452834</v>
      </c>
      <c r="I14" s="21">
        <f>I11*H14</f>
        <v>7641.5094339622647</v>
      </c>
      <c r="K14" s="19" t="s">
        <v>18</v>
      </c>
      <c r="L14" s="18">
        <f>-[1]Personal!$N$13</f>
        <v>-3000</v>
      </c>
      <c r="O14" s="21">
        <f>O10*L14</f>
        <v>-4000</v>
      </c>
      <c r="Q14" s="19" t="s">
        <v>34</v>
      </c>
      <c r="R14" s="8">
        <f>-([1]Personal!$R$6+R6)</f>
        <v>-47</v>
      </c>
      <c r="S14" s="8">
        <f>S11*R14</f>
        <v>-6266.6666666666661</v>
      </c>
      <c r="T14" s="21">
        <f>T11*R14</f>
        <v>-4700</v>
      </c>
      <c r="U14">
        <f>L15/(L15+L22)</f>
        <v>0.52</v>
      </c>
      <c r="V14" s="19" t="s">
        <v>13</v>
      </c>
      <c r="W14" s="18">
        <f>-($L$15+$L$22)/2.5*U14</f>
        <v>520</v>
      </c>
      <c r="X14" s="10">
        <f>-O15</f>
        <v>1733.3333333333333</v>
      </c>
      <c r="Y14" s="21">
        <f>-L15</f>
        <v>1300</v>
      </c>
    </row>
    <row r="15" spans="2:25" x14ac:dyDescent="0.25">
      <c r="B15" s="3" t="s">
        <v>19</v>
      </c>
      <c r="C15" s="9"/>
      <c r="G15" s="19"/>
      <c r="H15" s="18"/>
      <c r="I15" s="17"/>
      <c r="K15" s="19" t="s">
        <v>13</v>
      </c>
      <c r="L15" s="18">
        <f>-SUM(L12:L14)</f>
        <v>-1300</v>
      </c>
      <c r="O15" s="21">
        <f>O10*L15</f>
        <v>-1733.3333333333333</v>
      </c>
      <c r="Q15" s="19"/>
      <c r="T15" s="17"/>
      <c r="V15" s="19" t="s">
        <v>8</v>
      </c>
      <c r="W15" s="18">
        <f>-([1]Personal!$W$12+W8)</f>
        <v>-217.39130434782601</v>
      </c>
      <c r="X15" s="8">
        <f>X12*W15</f>
        <v>-724.63768115941991</v>
      </c>
      <c r="Y15" s="21">
        <f>Y12*W15</f>
        <v>-543.47826086956502</v>
      </c>
    </row>
    <row r="16" spans="2:25" x14ac:dyDescent="0.25">
      <c r="B16" s="3" t="s">
        <v>5</v>
      </c>
      <c r="C16" s="11" t="s">
        <v>4</v>
      </c>
      <c r="D16" s="3" t="s">
        <v>41</v>
      </c>
      <c r="E16" s="3" t="s">
        <v>1</v>
      </c>
      <c r="G16" s="16" t="s">
        <v>11</v>
      </c>
      <c r="H16" s="15">
        <f>SUM(H13:H15)</f>
        <v>28.672257162823204</v>
      </c>
      <c r="I16" s="14">
        <f>SUM(I12:I15)</f>
        <v>7741.5094339622647</v>
      </c>
      <c r="K16" s="33"/>
      <c r="L16" s="34"/>
      <c r="M16" s="37"/>
      <c r="N16" s="37"/>
      <c r="O16" s="38"/>
      <c r="Q16" s="16" t="s">
        <v>11</v>
      </c>
      <c r="R16" s="27">
        <f>SUM(R13:R15)</f>
        <v>0</v>
      </c>
      <c r="S16" s="27">
        <f>SUM(S13:S15)</f>
        <v>0</v>
      </c>
      <c r="T16" s="26">
        <f>SUM(T13:T15)</f>
        <v>0</v>
      </c>
      <c r="V16" s="19" t="s">
        <v>0</v>
      </c>
      <c r="W16" s="18">
        <f>-SUM(W14:W15)</f>
        <v>-302.60869565217399</v>
      </c>
      <c r="X16" s="8">
        <f>W16*X12</f>
        <v>-1008.6956521739132</v>
      </c>
      <c r="Y16" s="21">
        <f>Y12*W16</f>
        <v>-756.52173913043498</v>
      </c>
    </row>
    <row r="17" spans="1:25" x14ac:dyDescent="0.25">
      <c r="B17" t="s">
        <v>17</v>
      </c>
      <c r="C17" s="9">
        <f>[1]Personal!$C$13</f>
        <v>3000</v>
      </c>
      <c r="K17" s="16" t="s">
        <v>11</v>
      </c>
      <c r="L17" s="15">
        <f>SUM(L12:L16)</f>
        <v>0</v>
      </c>
      <c r="M17" s="15">
        <f>SUM(M12:M16)</f>
        <v>0</v>
      </c>
      <c r="N17" s="15">
        <f>SUM(N12:N16)</f>
        <v>0</v>
      </c>
      <c r="O17" s="14">
        <f>SUM(O12:O16)</f>
        <v>0</v>
      </c>
      <c r="V17" s="19"/>
      <c r="W17" s="18"/>
      <c r="X17" s="10"/>
      <c r="Y17" s="21"/>
    </row>
    <row r="18" spans="1:25" x14ac:dyDescent="0.25">
      <c r="C18" s="9"/>
      <c r="D18" s="10"/>
      <c r="L18" s="18"/>
      <c r="M18" s="8"/>
      <c r="N18" s="8"/>
      <c r="O18" s="8"/>
      <c r="V18" s="16" t="s">
        <v>11</v>
      </c>
      <c r="W18" s="15">
        <f>SUM(W14:W17)</f>
        <v>0</v>
      </c>
      <c r="X18" s="15">
        <f>SUM(X14:X17)</f>
        <v>0</v>
      </c>
      <c r="Y18" s="14">
        <f>SUM(Y14:Y17)</f>
        <v>0</v>
      </c>
    </row>
    <row r="19" spans="1:25" x14ac:dyDescent="0.25">
      <c r="B19" s="3" t="s">
        <v>15</v>
      </c>
      <c r="C19" s="9"/>
      <c r="K19" s="25" t="s">
        <v>15</v>
      </c>
      <c r="L19" s="24"/>
      <c r="M19" s="23">
        <f>M21/L21</f>
        <v>0.57499999999999996</v>
      </c>
      <c r="N19" s="23"/>
      <c r="O19" s="22">
        <f>O21/L21</f>
        <v>0.7666666666666665</v>
      </c>
    </row>
    <row r="20" spans="1:25" x14ac:dyDescent="0.25">
      <c r="B20" s="3" t="s">
        <v>5</v>
      </c>
      <c r="C20" s="11" t="s">
        <v>4</v>
      </c>
      <c r="D20" s="3" t="s">
        <v>41</v>
      </c>
      <c r="E20" s="3" t="s">
        <v>1</v>
      </c>
      <c r="K20" s="6" t="s">
        <v>5</v>
      </c>
      <c r="L20" s="5" t="s">
        <v>4</v>
      </c>
      <c r="M20" s="3" t="s">
        <v>41</v>
      </c>
      <c r="N20" s="3" t="s">
        <v>1</v>
      </c>
      <c r="O20" s="4" t="s">
        <v>3</v>
      </c>
      <c r="V20" s="25" t="s">
        <v>15</v>
      </c>
      <c r="W20" s="24"/>
      <c r="X20" s="23">
        <f>X22/W22</f>
        <v>3.3333333333333326</v>
      </c>
      <c r="Y20" s="22">
        <f>Y22/W22</f>
        <v>2.5</v>
      </c>
    </row>
    <row r="21" spans="1:25" x14ac:dyDescent="0.25">
      <c r="B21" t="s">
        <v>16</v>
      </c>
      <c r="C21" s="9">
        <f>-H6*290</f>
        <v>2735.8490566037735</v>
      </c>
      <c r="D21" s="8">
        <f>-I6</f>
        <v>2500</v>
      </c>
      <c r="E21" s="10">
        <f>C21-D21</f>
        <v>235.84905660377353</v>
      </c>
      <c r="K21" s="19" t="s">
        <v>14</v>
      </c>
      <c r="L21" s="18">
        <f>[1]Personal!$M$14</f>
        <v>1200</v>
      </c>
      <c r="M21" s="8">
        <f>-Y6</f>
        <v>690</v>
      </c>
      <c r="N21" s="8">
        <f>L21-M21</f>
        <v>510</v>
      </c>
      <c r="O21" s="21">
        <f>-X6</f>
        <v>919.99999999999977</v>
      </c>
      <c r="V21" s="6" t="s">
        <v>5</v>
      </c>
      <c r="W21" s="5" t="s">
        <v>4</v>
      </c>
      <c r="X21" s="3" t="s">
        <v>3</v>
      </c>
      <c r="Y21" s="4" t="s">
        <v>2</v>
      </c>
    </row>
    <row r="22" spans="1:25" x14ac:dyDescent="0.25">
      <c r="B22" s="3"/>
      <c r="C22" s="9"/>
      <c r="K22" s="19" t="s">
        <v>13</v>
      </c>
      <c r="L22" s="18">
        <f>-([1]Personal!$N$18+L15)</f>
        <v>-1200</v>
      </c>
      <c r="M22" s="8">
        <f>M19*L22</f>
        <v>-690</v>
      </c>
      <c r="O22" s="21">
        <f>O19*L22</f>
        <v>-919.99999999999977</v>
      </c>
      <c r="U22">
        <f>L22/(L15+L22)</f>
        <v>0.48</v>
      </c>
      <c r="V22" s="19" t="s">
        <v>13</v>
      </c>
      <c r="W22" s="18">
        <f>-($L$15+$L$22)/2.5*U22</f>
        <v>480</v>
      </c>
      <c r="X22" s="8">
        <f>O21/M21*Y22</f>
        <v>1599.9999999999995</v>
      </c>
      <c r="Y22" s="21">
        <f>-L22</f>
        <v>1200</v>
      </c>
    </row>
    <row r="23" spans="1:25" x14ac:dyDescent="0.25">
      <c r="B23" s="3" t="s">
        <v>10</v>
      </c>
      <c r="C23" s="20"/>
      <c r="D23">
        <f>D25/C25</f>
        <v>0.55757575757575739</v>
      </c>
      <c r="K23" s="33"/>
      <c r="L23" s="34"/>
      <c r="M23" s="35"/>
      <c r="N23" s="35"/>
      <c r="O23" s="36"/>
      <c r="V23" s="19" t="s">
        <v>0</v>
      </c>
      <c r="W23" s="18">
        <f>-([1]Personal!$X$15+W16)</f>
        <v>-480</v>
      </c>
      <c r="X23" s="8">
        <f>X20*W23</f>
        <v>-1599.9999999999995</v>
      </c>
      <c r="Y23" s="21">
        <f>Y20*W23</f>
        <v>-1200</v>
      </c>
    </row>
    <row r="24" spans="1:25" x14ac:dyDescent="0.25">
      <c r="A24" s="12"/>
      <c r="B24" s="3" t="s">
        <v>5</v>
      </c>
      <c r="C24" s="11" t="s">
        <v>4</v>
      </c>
      <c r="D24" s="3" t="s">
        <v>41</v>
      </c>
      <c r="E24" s="3" t="s">
        <v>1</v>
      </c>
      <c r="K24" s="16" t="s">
        <v>11</v>
      </c>
      <c r="L24" s="15">
        <f>SUM(L21:L23)</f>
        <v>0</v>
      </c>
      <c r="M24" s="15">
        <f>SUM(M21:M23)</f>
        <v>0</v>
      </c>
      <c r="N24" s="15">
        <f>SUM(N21:N23)</f>
        <v>510</v>
      </c>
      <c r="O24" s="14">
        <f>SUM(O21:O23)</f>
        <v>0</v>
      </c>
      <c r="V24" s="19"/>
      <c r="W24" s="18"/>
      <c r="Y24" s="17"/>
    </row>
    <row r="25" spans="1:25" x14ac:dyDescent="0.25">
      <c r="B25" t="s">
        <v>12</v>
      </c>
      <c r="C25" s="9">
        <f>[1]Personal!$C$25</f>
        <v>3850</v>
      </c>
      <c r="D25" s="8">
        <f>-X7</f>
        <v>2146.6666666666661</v>
      </c>
      <c r="E25" s="10">
        <f>C25-D25</f>
        <v>1703.3333333333339</v>
      </c>
      <c r="L25" s="18"/>
      <c r="V25" s="16" t="s">
        <v>11</v>
      </c>
      <c r="W25" s="15">
        <f>SUM(W22:W24)</f>
        <v>0</v>
      </c>
      <c r="X25" s="15">
        <f>SUM(X22:X24)</f>
        <v>0</v>
      </c>
      <c r="Y25" s="14">
        <f>SUM(Y22:Y24)</f>
        <v>0</v>
      </c>
    </row>
    <row r="26" spans="1:25" x14ac:dyDescent="0.25">
      <c r="B26" s="3"/>
      <c r="C26" s="9"/>
      <c r="K26" s="25" t="s">
        <v>10</v>
      </c>
      <c r="L26" s="24"/>
      <c r="M26" s="23">
        <f>M28/L28</f>
        <v>0.49714285714285689</v>
      </c>
      <c r="N26" s="23"/>
      <c r="O26" s="22">
        <f>O28/L28</f>
        <v>0.66285714285714248</v>
      </c>
    </row>
    <row r="27" spans="1:25" x14ac:dyDescent="0.25">
      <c r="B27" s="3" t="s">
        <v>9</v>
      </c>
      <c r="C27" s="13"/>
      <c r="D27" s="3"/>
      <c r="E27" s="3"/>
      <c r="G27" s="10"/>
      <c r="K27" s="6" t="s">
        <v>5</v>
      </c>
      <c r="L27" s="5" t="s">
        <v>4</v>
      </c>
      <c r="M27" s="3" t="s">
        <v>41</v>
      </c>
      <c r="N27" s="3" t="s">
        <v>1</v>
      </c>
      <c r="O27" s="4" t="s">
        <v>3</v>
      </c>
    </row>
    <row r="28" spans="1:25" x14ac:dyDescent="0.25">
      <c r="A28" s="12"/>
      <c r="B28" s="3" t="s">
        <v>5</v>
      </c>
      <c r="C28" s="11" t="s">
        <v>4</v>
      </c>
      <c r="D28" s="3" t="s">
        <v>41</v>
      </c>
      <c r="E28" s="3" t="s">
        <v>1</v>
      </c>
      <c r="J28" s="7">
        <f>W8/(W8+W15)</f>
        <v>0.58333333333333359</v>
      </c>
      <c r="K28" s="19" t="s">
        <v>8</v>
      </c>
      <c r="L28" s="18">
        <f>-(W8+W15)*5*J28</f>
        <v>1521.7391304347839</v>
      </c>
      <c r="M28" s="8">
        <f>-Y16</f>
        <v>756.52173913043498</v>
      </c>
      <c r="N28" s="8">
        <f>L28-M28</f>
        <v>765.21739130434889</v>
      </c>
      <c r="O28" s="21">
        <f>-X16</f>
        <v>1008.6956521739132</v>
      </c>
    </row>
    <row r="29" spans="1:25" x14ac:dyDescent="0.25">
      <c r="B29" t="s">
        <v>0</v>
      </c>
      <c r="C29" s="9">
        <f>-(W23+W16)*6</f>
        <v>4695.652173913044</v>
      </c>
      <c r="D29" s="8">
        <f>-(X16+X23)</f>
        <v>2608.695652173913</v>
      </c>
      <c r="E29" s="10">
        <f>C29-D29</f>
        <v>2086.9565217391309</v>
      </c>
      <c r="K29" s="19" t="s">
        <v>35</v>
      </c>
      <c r="L29" s="18">
        <f>-L28</f>
        <v>-1521.7391304347839</v>
      </c>
      <c r="M29" s="8">
        <f>M26*L29</f>
        <v>-756.52173913043498</v>
      </c>
      <c r="O29" s="21">
        <f>O26*L29</f>
        <v>-1008.6956521739133</v>
      </c>
    </row>
    <row r="30" spans="1:25" x14ac:dyDescent="0.25">
      <c r="C30" s="9"/>
      <c r="K30" s="33"/>
      <c r="L30" s="34"/>
      <c r="M30" s="35"/>
      <c r="N30" s="35"/>
      <c r="O30" s="36"/>
    </row>
    <row r="31" spans="1:25" x14ac:dyDescent="0.25">
      <c r="B31" s="3" t="s">
        <v>7</v>
      </c>
      <c r="C31" s="9"/>
      <c r="K31" s="16" t="s">
        <v>11</v>
      </c>
      <c r="L31" s="15">
        <f>SUM(L27:L29)</f>
        <v>0</v>
      </c>
      <c r="M31" s="15">
        <f>SUM(M27:M29)</f>
        <v>0</v>
      </c>
      <c r="N31" s="15">
        <f>SUM(N27:N29)</f>
        <v>765.21739130434889</v>
      </c>
      <c r="O31" s="14">
        <f>SUM(O27:O29)</f>
        <v>0</v>
      </c>
    </row>
    <row r="32" spans="1:25" x14ac:dyDescent="0.25">
      <c r="B32" s="3" t="s">
        <v>5</v>
      </c>
      <c r="C32" s="11" t="s">
        <v>4</v>
      </c>
      <c r="D32" s="3" t="s">
        <v>41</v>
      </c>
      <c r="E32" s="3" t="s">
        <v>1</v>
      </c>
      <c r="L32" s="18"/>
    </row>
    <row r="33" spans="1:15" x14ac:dyDescent="0.25">
      <c r="A33" s="31">
        <f>(L29/($L$29+$L$36+$L$43+$L$50))</f>
        <v>0.58333333333333359</v>
      </c>
      <c r="B33" t="s">
        <v>35</v>
      </c>
      <c r="C33" s="9">
        <f>[1]Personal!$C$31*A33</f>
        <v>0</v>
      </c>
      <c r="D33" s="8">
        <f>-O29*(L29/M29)</f>
        <v>2028.9855072463783</v>
      </c>
      <c r="E33" s="10">
        <f>C33-D33</f>
        <v>-2028.9855072463783</v>
      </c>
      <c r="J33" s="7">
        <f>W15/(W8+W15)</f>
        <v>0.41666666666666641</v>
      </c>
      <c r="K33" s="25" t="s">
        <v>9</v>
      </c>
      <c r="L33" s="24"/>
      <c r="M33" s="23">
        <f>M35/L35</f>
        <v>0.5</v>
      </c>
      <c r="N33" s="23"/>
      <c r="O33" s="22">
        <f>O35/L35</f>
        <v>0.66666666666666652</v>
      </c>
    </row>
    <row r="34" spans="1:15" x14ac:dyDescent="0.25">
      <c r="K34" s="6" t="s">
        <v>5</v>
      </c>
      <c r="L34" s="5" t="s">
        <v>4</v>
      </c>
      <c r="M34" s="3" t="s">
        <v>41</v>
      </c>
      <c r="N34" s="3" t="s">
        <v>1</v>
      </c>
      <c r="O34" s="4" t="s">
        <v>3</v>
      </c>
    </row>
    <row r="35" spans="1:15" x14ac:dyDescent="0.25">
      <c r="B35" s="3" t="s">
        <v>6</v>
      </c>
      <c r="C35" s="9"/>
      <c r="K35" s="19" t="s">
        <v>8</v>
      </c>
      <c r="L35" s="18">
        <f>-(W8+W15)*5*J33</f>
        <v>1086.95652173913</v>
      </c>
      <c r="M35" s="8">
        <f>-Y15</f>
        <v>543.47826086956502</v>
      </c>
      <c r="N35" s="8">
        <f>L35-M35</f>
        <v>543.47826086956502</v>
      </c>
      <c r="O35" s="21">
        <f>-X15</f>
        <v>724.63768115941991</v>
      </c>
    </row>
    <row r="36" spans="1:15" x14ac:dyDescent="0.25">
      <c r="B36" s="3" t="s">
        <v>5</v>
      </c>
      <c r="C36" s="11" t="s">
        <v>4</v>
      </c>
      <c r="D36" s="3" t="s">
        <v>41</v>
      </c>
      <c r="E36" s="3" t="s">
        <v>1</v>
      </c>
      <c r="K36" s="19" t="s">
        <v>35</v>
      </c>
      <c r="L36" s="18">
        <f>-L35</f>
        <v>-1086.95652173913</v>
      </c>
      <c r="M36" s="8">
        <f>M33*L36</f>
        <v>-543.47826086956502</v>
      </c>
      <c r="O36" s="21">
        <f>O33*L36</f>
        <v>-724.63768115941991</v>
      </c>
    </row>
    <row r="37" spans="1:15" x14ac:dyDescent="0.25">
      <c r="A37" s="31">
        <f>(L36/($L$29+$L$36+$L$43+$L$50))</f>
        <v>0.41666666666666635</v>
      </c>
      <c r="B37" t="s">
        <v>35</v>
      </c>
      <c r="C37" s="9">
        <f>[1]Personal!$C$31*A37</f>
        <v>0</v>
      </c>
      <c r="D37" s="8">
        <f>-O36*(L36/M36)</f>
        <v>1449.2753623188398</v>
      </c>
      <c r="E37" s="10">
        <f>C37-D37</f>
        <v>-1449.2753623188398</v>
      </c>
      <c r="K37" s="33"/>
      <c r="L37" s="34"/>
      <c r="M37" s="35"/>
      <c r="N37" s="35"/>
      <c r="O37" s="36"/>
    </row>
    <row r="38" spans="1:15" x14ac:dyDescent="0.25">
      <c r="K38" s="16" t="s">
        <v>11</v>
      </c>
      <c r="L38" s="15">
        <f>SUM(L34:L36)</f>
        <v>0</v>
      </c>
      <c r="M38" s="15">
        <f>SUM(M34:M36)</f>
        <v>0</v>
      </c>
      <c r="N38" s="15">
        <f>SUM(N34:N36)</f>
        <v>543.47826086956502</v>
      </c>
      <c r="O38" s="14">
        <f>SUM(O34:O36)</f>
        <v>0</v>
      </c>
    </row>
    <row r="39" spans="1:15" x14ac:dyDescent="0.25">
      <c r="B39" s="3" t="s">
        <v>36</v>
      </c>
      <c r="L39" s="18"/>
    </row>
    <row r="40" spans="1:15" x14ac:dyDescent="0.25">
      <c r="B40" s="3" t="s">
        <v>5</v>
      </c>
      <c r="C40" s="11" t="s">
        <v>4</v>
      </c>
      <c r="D40" s="3" t="s">
        <v>41</v>
      </c>
      <c r="E40" s="3" t="s">
        <v>1</v>
      </c>
      <c r="J40" s="7">
        <f>R6/(R6+R14)</f>
        <v>0.06</v>
      </c>
      <c r="K40" s="25" t="s">
        <v>7</v>
      </c>
      <c r="L40" s="24"/>
      <c r="M40" s="23" t="e">
        <f>M42/L42</f>
        <v>#DIV/0!</v>
      </c>
      <c r="N40" s="23"/>
      <c r="O40" s="22"/>
    </row>
    <row r="41" spans="1:15" x14ac:dyDescent="0.25">
      <c r="A41" s="31">
        <f>(L43/($L$29+$L$36+$L$43+$L$50))</f>
        <v>0</v>
      </c>
      <c r="B41" t="s">
        <v>35</v>
      </c>
      <c r="C41" s="9">
        <f>[1]Personal!$C$31*A41</f>
        <v>0</v>
      </c>
      <c r="D41" s="8"/>
      <c r="E41" s="10"/>
      <c r="K41" s="6" t="s">
        <v>5</v>
      </c>
      <c r="L41" s="5" t="s">
        <v>4</v>
      </c>
      <c r="M41" s="3" t="s">
        <v>41</v>
      </c>
      <c r="N41" s="3" t="s">
        <v>1</v>
      </c>
      <c r="O41" s="4" t="s">
        <v>3</v>
      </c>
    </row>
    <row r="42" spans="1:15" x14ac:dyDescent="0.25">
      <c r="K42" s="19" t="s">
        <v>34</v>
      </c>
      <c r="L42" s="18">
        <f>[1]Personal!$M$22*J40</f>
        <v>0</v>
      </c>
      <c r="M42" s="8">
        <f>-T6</f>
        <v>300</v>
      </c>
      <c r="N42" s="8">
        <f>L42-M42</f>
        <v>-300</v>
      </c>
      <c r="O42" s="21"/>
    </row>
    <row r="43" spans="1:15" x14ac:dyDescent="0.25">
      <c r="B43" s="3" t="s">
        <v>37</v>
      </c>
      <c r="K43" s="19" t="s">
        <v>35</v>
      </c>
      <c r="L43" s="18">
        <f>-L42</f>
        <v>0</v>
      </c>
      <c r="M43" s="8" t="e">
        <f>M40*L43</f>
        <v>#DIV/0!</v>
      </c>
      <c r="O43" s="17"/>
    </row>
    <row r="44" spans="1:15" x14ac:dyDescent="0.25">
      <c r="B44" s="3" t="s">
        <v>5</v>
      </c>
      <c r="C44" s="11" t="s">
        <v>4</v>
      </c>
      <c r="D44" s="3" t="s">
        <v>41</v>
      </c>
      <c r="E44" s="3" t="s">
        <v>1</v>
      </c>
      <c r="K44" s="33"/>
      <c r="L44" s="34"/>
      <c r="M44" s="35"/>
      <c r="N44" s="35"/>
      <c r="O44" s="36"/>
    </row>
    <row r="45" spans="1:15" x14ac:dyDescent="0.25">
      <c r="A45" s="31">
        <f>(L50/($L$29+$L$36+$L$43+$L$50))</f>
        <v>0</v>
      </c>
      <c r="B45" t="s">
        <v>35</v>
      </c>
      <c r="C45" s="2">
        <f>[1]Personal!$C$31*A45</f>
        <v>0</v>
      </c>
      <c r="D45" s="2" t="e">
        <f>-O50*(L50/M50)</f>
        <v>#DIV/0!</v>
      </c>
      <c r="E45" s="10" t="e">
        <f>C45-D45</f>
        <v>#DIV/0!</v>
      </c>
      <c r="K45" s="16" t="s">
        <v>11</v>
      </c>
      <c r="L45" s="15">
        <f>SUM(L41:L43)</f>
        <v>0</v>
      </c>
      <c r="M45" s="15" t="e">
        <f>SUM(M41:M43)</f>
        <v>#DIV/0!</v>
      </c>
      <c r="N45" s="15">
        <f>SUM(N41:N43)</f>
        <v>-300</v>
      </c>
      <c r="O45" s="14">
        <f>SUM(O41:O43)</f>
        <v>0</v>
      </c>
    </row>
    <row r="46" spans="1:15" x14ac:dyDescent="0.25">
      <c r="L46" s="18"/>
    </row>
    <row r="47" spans="1:15" x14ac:dyDescent="0.25">
      <c r="B47" s="3" t="s">
        <v>39</v>
      </c>
      <c r="J47" s="30">
        <f>R14/(R6+R14)</f>
        <v>0.94</v>
      </c>
      <c r="K47" s="39" t="s">
        <v>6</v>
      </c>
      <c r="L47" s="40"/>
      <c r="M47" s="41" t="e">
        <f>M49/L49</f>
        <v>#DIV/0!</v>
      </c>
      <c r="N47" s="41"/>
      <c r="O47" s="42" t="e">
        <f>O49/L49</f>
        <v>#DIV/0!</v>
      </c>
    </row>
    <row r="48" spans="1:15" x14ac:dyDescent="0.25">
      <c r="B48" s="3" t="s">
        <v>5</v>
      </c>
      <c r="C48" s="11" t="s">
        <v>4</v>
      </c>
      <c r="D48" s="3" t="s">
        <v>41</v>
      </c>
      <c r="E48" s="3" t="s">
        <v>1</v>
      </c>
      <c r="K48" s="25" t="s">
        <v>5</v>
      </c>
      <c r="L48" s="43" t="s">
        <v>4</v>
      </c>
      <c r="M48" s="3" t="s">
        <v>41</v>
      </c>
      <c r="N48" s="44" t="s">
        <v>1</v>
      </c>
      <c r="O48" s="45" t="s">
        <v>3</v>
      </c>
    </row>
    <row r="49" spans="1:15" x14ac:dyDescent="0.25">
      <c r="A49" s="31" t="e">
        <f>H7/(H7+H14)</f>
        <v>#DIV/0!</v>
      </c>
      <c r="B49" t="s">
        <v>38</v>
      </c>
      <c r="C49" s="2" t="e">
        <f>[1]Personal!$C$33*A49</f>
        <v>#DIV/0!</v>
      </c>
      <c r="D49" s="2">
        <f>-I7</f>
        <v>7500.0000000000009</v>
      </c>
      <c r="E49" s="10" t="e">
        <f>C49-D49</f>
        <v>#DIV/0!</v>
      </c>
      <c r="K49" s="19" t="s">
        <v>34</v>
      </c>
      <c r="L49" s="18">
        <f>[1]Personal!$M$22*J47</f>
        <v>0</v>
      </c>
      <c r="M49" s="8">
        <f>-T14</f>
        <v>4700</v>
      </c>
      <c r="N49" s="8">
        <f>L49-M49</f>
        <v>-4700</v>
      </c>
      <c r="O49" s="21">
        <f>-S14</f>
        <v>6266.6666666666661</v>
      </c>
    </row>
    <row r="50" spans="1:15" x14ac:dyDescent="0.25">
      <c r="K50" s="19" t="s">
        <v>35</v>
      </c>
      <c r="L50" s="18">
        <f>-L49</f>
        <v>0</v>
      </c>
      <c r="M50" s="8" t="e">
        <f>M47*L50</f>
        <v>#DIV/0!</v>
      </c>
      <c r="O50" s="21" t="e">
        <f>O47*L50</f>
        <v>#DIV/0!</v>
      </c>
    </row>
    <row r="51" spans="1:15" x14ac:dyDescent="0.25">
      <c r="B51" s="3" t="s">
        <v>40</v>
      </c>
      <c r="K51" s="19"/>
      <c r="L51" s="18"/>
      <c r="O51" s="17"/>
    </row>
    <row r="52" spans="1:15" x14ac:dyDescent="0.25">
      <c r="B52" s="3" t="s">
        <v>5</v>
      </c>
      <c r="C52" s="11" t="s">
        <v>4</v>
      </c>
      <c r="D52" s="3" t="s">
        <v>41</v>
      </c>
      <c r="E52" s="3" t="s">
        <v>1</v>
      </c>
      <c r="K52" s="46" t="s">
        <v>11</v>
      </c>
      <c r="L52" s="47">
        <f>SUM(L48:L50)</f>
        <v>0</v>
      </c>
      <c r="M52" s="47" t="e">
        <f>SUM(M48:M50)</f>
        <v>#DIV/0!</v>
      </c>
      <c r="N52" s="47">
        <f>SUM(N48:N50)</f>
        <v>-4700</v>
      </c>
      <c r="O52" s="48" t="e">
        <f>SUM(O48:O50)</f>
        <v>#DIV/0!</v>
      </c>
    </row>
    <row r="53" spans="1:15" x14ac:dyDescent="0.25">
      <c r="A53" s="31" t="e">
        <f>H14/(H7+H14)</f>
        <v>#DIV/0!</v>
      </c>
      <c r="B53" t="s">
        <v>38</v>
      </c>
      <c r="C53" s="2" t="e">
        <f>[1]Personal!$C$33*A53</f>
        <v>#DIV/0!</v>
      </c>
      <c r="D53" s="2">
        <f>-I14</f>
        <v>-7641.5094339622647</v>
      </c>
      <c r="E53" s="10" t="e">
        <f>C53-D53</f>
        <v>#DIV/0!</v>
      </c>
    </row>
  </sheetData>
  <mergeCells count="5">
    <mergeCell ref="B2:E2"/>
    <mergeCell ref="G2:I2"/>
    <mergeCell ref="K2:O2"/>
    <mergeCell ref="Q2:T2"/>
    <mergeCell ref="V2:Y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CA06-8ADC-4AA8-B7B4-BE8CC7679CE9}">
  <dimension ref="A2:U52"/>
  <sheetViews>
    <sheetView workbookViewId="0">
      <selection activeCell="R9" sqref="R9"/>
    </sheetView>
  </sheetViews>
  <sheetFormatPr defaultRowHeight="15" x14ac:dyDescent="0.25"/>
  <cols>
    <col min="2" max="2" width="8.7109375" customWidth="1"/>
    <col min="3" max="3" width="12.28515625" style="2" bestFit="1" customWidth="1"/>
    <col min="4" max="4" width="10.5703125" bestFit="1" customWidth="1"/>
    <col min="5" max="5" width="11" customWidth="1"/>
    <col min="7" max="7" width="8.7109375" customWidth="1"/>
    <col min="8" max="8" width="10.28515625" style="1" bestFit="1" customWidth="1"/>
    <col min="9" max="9" width="10.5703125" bestFit="1" customWidth="1"/>
    <col min="10" max="10" width="11.7109375" customWidth="1"/>
    <col min="11" max="11" width="10.28515625" bestFit="1" customWidth="1"/>
    <col min="13" max="13" width="8.7109375" customWidth="1"/>
    <col min="14" max="14" width="9.5703125" bestFit="1" customWidth="1"/>
    <col min="15" max="15" width="10.5703125" bestFit="1" customWidth="1"/>
    <col min="16" max="16" width="10.28515625" bestFit="1" customWidth="1"/>
    <col min="18" max="18" width="8.7109375" customWidth="1"/>
    <col min="19" max="19" width="11.42578125" style="1" customWidth="1"/>
    <col min="20" max="20" width="10.5703125" bestFit="1" customWidth="1"/>
    <col min="21" max="21" width="10.28515625" bestFit="1" customWidth="1"/>
  </cols>
  <sheetData>
    <row r="2" spans="2:21" s="49" customFormat="1" ht="26.25" customHeight="1" x14ac:dyDescent="0.25">
      <c r="B2" s="50" t="s">
        <v>33</v>
      </c>
      <c r="C2" s="50"/>
      <c r="D2" s="50"/>
      <c r="E2" s="50"/>
      <c r="G2" s="50" t="s">
        <v>31</v>
      </c>
      <c r="H2" s="50"/>
      <c r="I2" s="50"/>
      <c r="J2" s="50"/>
      <c r="K2" s="50"/>
      <c r="M2" s="50" t="s">
        <v>30</v>
      </c>
      <c r="N2" s="50"/>
      <c r="O2" s="50"/>
      <c r="P2" s="50"/>
      <c r="R2" s="50" t="s">
        <v>29</v>
      </c>
      <c r="S2" s="50"/>
      <c r="T2" s="50"/>
      <c r="U2" s="50"/>
    </row>
    <row r="3" spans="2:21" x14ac:dyDescent="0.25">
      <c r="B3" s="25" t="s">
        <v>28</v>
      </c>
      <c r="C3" s="29"/>
      <c r="D3" s="23"/>
      <c r="E3" s="22"/>
      <c r="G3" s="25" t="s">
        <v>28</v>
      </c>
      <c r="H3" s="24"/>
      <c r="I3" s="23"/>
      <c r="J3" s="23"/>
      <c r="K3" s="22"/>
      <c r="M3" s="25" t="s">
        <v>28</v>
      </c>
      <c r="N3" s="23"/>
      <c r="O3" s="23"/>
      <c r="P3" s="22">
        <f>P5/N5</f>
        <v>100</v>
      </c>
      <c r="R3" s="25" t="s">
        <v>28</v>
      </c>
      <c r="S3" s="24"/>
      <c r="T3" s="23" t="e">
        <f>T5/S5</f>
        <v>#DIV/0!</v>
      </c>
      <c r="U3" s="22">
        <f>U5/S5</f>
        <v>2.2999999999999998</v>
      </c>
    </row>
    <row r="4" spans="2:21" x14ac:dyDescent="0.25">
      <c r="B4" s="6" t="s">
        <v>5</v>
      </c>
      <c r="C4" s="13" t="s">
        <v>4</v>
      </c>
      <c r="D4" s="3" t="s">
        <v>41</v>
      </c>
      <c r="E4" s="4" t="s">
        <v>1</v>
      </c>
      <c r="G4" s="6" t="s">
        <v>5</v>
      </c>
      <c r="H4" s="5" t="s">
        <v>4</v>
      </c>
      <c r="I4" s="3" t="s">
        <v>41</v>
      </c>
      <c r="J4" s="3" t="s">
        <v>1</v>
      </c>
      <c r="K4" s="4" t="s">
        <v>3</v>
      </c>
      <c r="M4" s="6" t="s">
        <v>5</v>
      </c>
      <c r="N4" s="3" t="s">
        <v>4</v>
      </c>
      <c r="O4" s="3" t="s">
        <v>3</v>
      </c>
      <c r="P4" s="4" t="s">
        <v>2</v>
      </c>
      <c r="R4" s="6" t="s">
        <v>5</v>
      </c>
      <c r="S4" s="5" t="s">
        <v>4</v>
      </c>
      <c r="T4" s="3" t="s">
        <v>3</v>
      </c>
      <c r="U4" s="4" t="s">
        <v>2</v>
      </c>
    </row>
    <row r="5" spans="2:21" x14ac:dyDescent="0.25">
      <c r="B5" s="19" t="s">
        <v>27</v>
      </c>
      <c r="C5" s="9">
        <f>[1]Personal!$C$4</f>
        <v>30000</v>
      </c>
      <c r="D5" s="10"/>
      <c r="E5" s="17"/>
      <c r="G5" s="19" t="s">
        <v>27</v>
      </c>
      <c r="H5" s="18">
        <v>300</v>
      </c>
      <c r="K5" s="32"/>
      <c r="L5" s="7">
        <f>H6/(H6+H13)</f>
        <v>0.06</v>
      </c>
      <c r="M5" s="19" t="s">
        <v>20</v>
      </c>
      <c r="N5" s="8">
        <f>[1]Personal!$R$4*L5</f>
        <v>3</v>
      </c>
      <c r="O5" s="10"/>
      <c r="P5" s="21">
        <f>-H6</f>
        <v>300</v>
      </c>
      <c r="R5" s="19" t="s">
        <v>18</v>
      </c>
      <c r="S5" s="18">
        <f>-H14/2.3</f>
        <v>1304.3478260869567</v>
      </c>
      <c r="T5" s="10" t="e">
        <f>-K14</f>
        <v>#DIV/0!</v>
      </c>
      <c r="U5" s="21">
        <f>-H14</f>
        <v>3000</v>
      </c>
    </row>
    <row r="6" spans="2:21" x14ac:dyDescent="0.25">
      <c r="B6" s="19"/>
      <c r="C6" s="9"/>
      <c r="D6" s="8"/>
      <c r="E6" s="17"/>
      <c r="G6" s="19" t="s">
        <v>20</v>
      </c>
      <c r="H6" s="18">
        <f>-H5</f>
        <v>-300</v>
      </c>
      <c r="K6" s="21"/>
      <c r="M6" s="19" t="s">
        <v>34</v>
      </c>
      <c r="N6" s="8">
        <f>-N5</f>
        <v>-3</v>
      </c>
      <c r="O6" s="8"/>
      <c r="P6" s="21">
        <f>P3*N6</f>
        <v>-300</v>
      </c>
      <c r="R6" s="19" t="s">
        <v>14</v>
      </c>
      <c r="S6" s="18">
        <f>-[1]Personal!$X$7</f>
        <v>-300</v>
      </c>
      <c r="T6" s="8" t="e">
        <f>T3*S6</f>
        <v>#DIV/0!</v>
      </c>
      <c r="U6" s="21">
        <f>U3*S6</f>
        <v>-690</v>
      </c>
    </row>
    <row r="7" spans="2:21" x14ac:dyDescent="0.25">
      <c r="B7" s="19"/>
      <c r="C7" s="9"/>
      <c r="E7" s="17"/>
      <c r="G7" s="33"/>
      <c r="H7" s="34"/>
      <c r="I7" s="35"/>
      <c r="J7" s="35"/>
      <c r="K7" s="36"/>
      <c r="M7" s="19"/>
      <c r="P7" s="17"/>
      <c r="R7" s="19" t="s">
        <v>12</v>
      </c>
      <c r="S7" s="18">
        <f>-[1]Personal!$X$9</f>
        <v>-700</v>
      </c>
      <c r="T7" s="8" t="e">
        <f>T3*S7</f>
        <v>#DIV/0!</v>
      </c>
      <c r="U7" s="21">
        <f>U3*S7</f>
        <v>-1609.9999999999998</v>
      </c>
    </row>
    <row r="8" spans="2:21" x14ac:dyDescent="0.25">
      <c r="B8" s="19"/>
      <c r="C8" s="9"/>
      <c r="D8" s="8"/>
      <c r="E8" s="21"/>
      <c r="G8" s="16" t="s">
        <v>11</v>
      </c>
      <c r="H8" s="15">
        <f>SUM(H5:H7)</f>
        <v>0</v>
      </c>
      <c r="I8" s="15">
        <f>SUM(I5:I7)</f>
        <v>0</v>
      </c>
      <c r="J8" s="15">
        <f>SUM(J5:J7)</f>
        <v>0</v>
      </c>
      <c r="K8" s="14">
        <f>SUM(K5:K7)</f>
        <v>0</v>
      </c>
      <c r="M8" s="16" t="s">
        <v>11</v>
      </c>
      <c r="N8" s="27">
        <f>SUM(N5:N7)</f>
        <v>0</v>
      </c>
      <c r="O8" s="27">
        <f>SUM(O5:O7)</f>
        <v>0</v>
      </c>
      <c r="P8" s="26">
        <f>SUM(P5:P7)</f>
        <v>0</v>
      </c>
      <c r="R8" s="19" t="s">
        <v>8</v>
      </c>
      <c r="S8" s="18">
        <f>-SUM(S5:S7)</f>
        <v>-304.34782608695673</v>
      </c>
      <c r="T8" s="8" t="e">
        <f>T3*S8</f>
        <v>#DIV/0!</v>
      </c>
      <c r="U8" s="21">
        <f>U3*S8</f>
        <v>-700.00000000000045</v>
      </c>
    </row>
    <row r="9" spans="2:21" x14ac:dyDescent="0.25">
      <c r="B9" s="19"/>
      <c r="C9" s="9"/>
      <c r="E9" s="17"/>
      <c r="H9" s="18"/>
      <c r="R9" s="19"/>
      <c r="S9" s="18"/>
      <c r="U9" s="17"/>
    </row>
    <row r="10" spans="2:21" x14ac:dyDescent="0.25">
      <c r="B10" s="19"/>
      <c r="C10" s="9"/>
      <c r="E10" s="17"/>
      <c r="G10" s="25" t="s">
        <v>19</v>
      </c>
      <c r="H10" s="24"/>
      <c r="I10" s="23"/>
      <c r="J10" s="23"/>
      <c r="K10" s="22" t="e">
        <f>K12/H12</f>
        <v>#DIV/0!</v>
      </c>
      <c r="R10" s="16" t="s">
        <v>11</v>
      </c>
      <c r="S10" s="15">
        <f>SUM(S5:S9)</f>
        <v>0</v>
      </c>
      <c r="T10" s="27" t="e">
        <f>SUM(T5:T9)</f>
        <v>#DIV/0!</v>
      </c>
      <c r="U10" s="26">
        <f>SUM(U5:U9)</f>
        <v>0</v>
      </c>
    </row>
    <row r="11" spans="2:21" x14ac:dyDescent="0.25">
      <c r="B11" s="19"/>
      <c r="C11" s="9"/>
      <c r="E11" s="17"/>
      <c r="G11" s="6" t="s">
        <v>5</v>
      </c>
      <c r="H11" s="5" t="s">
        <v>4</v>
      </c>
      <c r="I11" s="3" t="s">
        <v>41</v>
      </c>
      <c r="J11" s="3" t="s">
        <v>1</v>
      </c>
      <c r="K11" s="4" t="s">
        <v>3</v>
      </c>
      <c r="M11" s="25" t="s">
        <v>19</v>
      </c>
      <c r="N11" s="23"/>
      <c r="O11" s="23" t="e">
        <f>O13/N13</f>
        <v>#DIV/0!</v>
      </c>
      <c r="P11" s="22">
        <f>P13/N13</f>
        <v>100</v>
      </c>
    </row>
    <row r="12" spans="2:21" x14ac:dyDescent="0.25">
      <c r="B12" s="16"/>
      <c r="C12" s="28"/>
      <c r="D12" s="27"/>
      <c r="E12" s="26"/>
      <c r="G12" s="19" t="s">
        <v>21</v>
      </c>
      <c r="H12" s="18">
        <f>-C10*0.75</f>
        <v>0</v>
      </c>
      <c r="I12" s="8"/>
      <c r="J12" s="8"/>
      <c r="K12" s="21">
        <f>-C10</f>
        <v>0</v>
      </c>
      <c r="M12" s="6" t="s">
        <v>5</v>
      </c>
      <c r="N12" s="3" t="s">
        <v>4</v>
      </c>
      <c r="O12" s="3" t="s">
        <v>3</v>
      </c>
      <c r="P12" s="4" t="s">
        <v>2</v>
      </c>
      <c r="R12" s="25" t="s">
        <v>19</v>
      </c>
      <c r="S12" s="24"/>
      <c r="T12" s="23" t="e">
        <f>T14/S14</f>
        <v>#DIV/0!</v>
      </c>
      <c r="U12" s="22">
        <f>U14/S14</f>
        <v>2.5</v>
      </c>
    </row>
    <row r="13" spans="2:21" x14ac:dyDescent="0.25">
      <c r="G13" s="19" t="s">
        <v>20</v>
      </c>
      <c r="H13" s="18">
        <f>-([1]Personal!$N$11+H6)</f>
        <v>-4700</v>
      </c>
      <c r="I13" s="8"/>
      <c r="J13" s="8"/>
      <c r="K13" s="21" t="e">
        <f>K10*H13</f>
        <v>#DIV/0!</v>
      </c>
      <c r="L13" s="7">
        <f>H13/(H6+H13)</f>
        <v>0.94</v>
      </c>
      <c r="M13" s="19" t="s">
        <v>20</v>
      </c>
      <c r="N13" s="8">
        <f>[1]Personal!$R$4*L13</f>
        <v>47</v>
      </c>
      <c r="O13" s="8" t="e">
        <f>-K13</f>
        <v>#DIV/0!</v>
      </c>
      <c r="P13" s="21">
        <f>-H13</f>
        <v>4700</v>
      </c>
      <c r="R13" s="6" t="s">
        <v>5</v>
      </c>
      <c r="S13" s="5" t="s">
        <v>4</v>
      </c>
      <c r="T13" s="3" t="s">
        <v>3</v>
      </c>
      <c r="U13" s="4" t="s">
        <v>2</v>
      </c>
    </row>
    <row r="14" spans="2:21" x14ac:dyDescent="0.25">
      <c r="B14" s="3"/>
      <c r="C14" s="9"/>
      <c r="G14" s="19" t="s">
        <v>18</v>
      </c>
      <c r="H14" s="18">
        <f>-[1]Personal!$N$13</f>
        <v>-3000</v>
      </c>
      <c r="K14" s="21" t="e">
        <f>K10*H14</f>
        <v>#DIV/0!</v>
      </c>
      <c r="M14" s="19" t="s">
        <v>34</v>
      </c>
      <c r="N14" s="8">
        <f>-([1]Personal!$R$6+N6)</f>
        <v>-47</v>
      </c>
      <c r="O14" s="8" t="e">
        <f>O11*N14</f>
        <v>#DIV/0!</v>
      </c>
      <c r="P14" s="21">
        <f>P11*N14</f>
        <v>-4700</v>
      </c>
      <c r="Q14">
        <f>H15/(H15+H22)</f>
        <v>-3.08</v>
      </c>
      <c r="R14" s="19" t="s">
        <v>13</v>
      </c>
      <c r="S14" s="18">
        <f>-($H$15+$H$22)/2.5*Q14</f>
        <v>-3080</v>
      </c>
      <c r="T14" s="10" t="e">
        <f>-K15</f>
        <v>#DIV/0!</v>
      </c>
      <c r="U14" s="21">
        <f>-H15</f>
        <v>-7700</v>
      </c>
    </row>
    <row r="15" spans="2:21" x14ac:dyDescent="0.25">
      <c r="B15" s="3"/>
      <c r="C15" s="11"/>
      <c r="D15" s="3"/>
      <c r="E15" s="3"/>
      <c r="G15" s="19" t="s">
        <v>13</v>
      </c>
      <c r="H15" s="18">
        <f>-SUM(H12:H14)</f>
        <v>7700</v>
      </c>
      <c r="K15" s="21" t="e">
        <f>K10*H15</f>
        <v>#DIV/0!</v>
      </c>
      <c r="M15" s="19"/>
      <c r="P15" s="17"/>
      <c r="R15" s="19" t="s">
        <v>8</v>
      </c>
      <c r="S15" s="18">
        <f>-([1]Personal!$W$12+S8)</f>
        <v>-217.39130434782601</v>
      </c>
      <c r="T15" s="8" t="e">
        <f>T12*S15</f>
        <v>#DIV/0!</v>
      </c>
      <c r="U15" s="21">
        <f>U12*S15</f>
        <v>-543.47826086956502</v>
      </c>
    </row>
    <row r="16" spans="2:21" x14ac:dyDescent="0.25">
      <c r="C16" s="9"/>
      <c r="G16" s="33"/>
      <c r="H16" s="34"/>
      <c r="I16" s="37"/>
      <c r="J16" s="37"/>
      <c r="K16" s="38"/>
      <c r="M16" s="16" t="s">
        <v>11</v>
      </c>
      <c r="N16" s="27">
        <f>SUM(N13:N15)</f>
        <v>0</v>
      </c>
      <c r="O16" s="27" t="e">
        <f>SUM(O13:O15)</f>
        <v>#DIV/0!</v>
      </c>
      <c r="P16" s="26">
        <f>SUM(P13:P15)</f>
        <v>0</v>
      </c>
      <c r="R16" s="19" t="s">
        <v>0</v>
      </c>
      <c r="S16" s="18">
        <f>-SUM(S14:S15)</f>
        <v>3297.391304347826</v>
      </c>
      <c r="T16" s="8" t="e">
        <f>S16*T12</f>
        <v>#DIV/0!</v>
      </c>
      <c r="U16" s="21">
        <f>U12*S16</f>
        <v>8243.4782608695641</v>
      </c>
    </row>
    <row r="17" spans="1:21" x14ac:dyDescent="0.25">
      <c r="C17" s="9"/>
      <c r="D17" s="10"/>
      <c r="G17" s="16" t="s">
        <v>11</v>
      </c>
      <c r="H17" s="15">
        <f>SUM(H12:H16)</f>
        <v>0</v>
      </c>
      <c r="I17" s="15">
        <f>SUM(I12:I16)</f>
        <v>0</v>
      </c>
      <c r="J17" s="15">
        <f>SUM(J12:J16)</f>
        <v>0</v>
      </c>
      <c r="K17" s="14" t="e">
        <f>SUM(K12:K16)</f>
        <v>#DIV/0!</v>
      </c>
      <c r="R17" s="19"/>
      <c r="S17" s="18"/>
      <c r="T17" s="10"/>
      <c r="U17" s="21"/>
    </row>
    <row r="18" spans="1:21" x14ac:dyDescent="0.25">
      <c r="B18" s="3"/>
      <c r="C18" s="9"/>
      <c r="H18" s="18"/>
      <c r="I18" s="8"/>
      <c r="J18" s="8"/>
      <c r="K18" s="8"/>
      <c r="R18" s="16" t="s">
        <v>11</v>
      </c>
      <c r="S18" s="15">
        <f>SUM(S14:S17)</f>
        <v>0</v>
      </c>
      <c r="T18" s="15" t="e">
        <f>SUM(T14:T17)</f>
        <v>#DIV/0!</v>
      </c>
      <c r="U18" s="14">
        <f>SUM(U14:U17)</f>
        <v>0</v>
      </c>
    </row>
    <row r="19" spans="1:21" x14ac:dyDescent="0.25">
      <c r="B19" s="3"/>
      <c r="C19" s="11"/>
      <c r="D19" s="3"/>
      <c r="E19" s="3"/>
      <c r="G19" s="25" t="s">
        <v>15</v>
      </c>
      <c r="H19" s="24"/>
      <c r="I19" s="23">
        <f>I21/H21</f>
        <v>0.57499999999999996</v>
      </c>
      <c r="J19" s="23"/>
      <c r="K19" s="22" t="e">
        <f>K21/H21</f>
        <v>#DIV/0!</v>
      </c>
    </row>
    <row r="20" spans="1:21" x14ac:dyDescent="0.25">
      <c r="C20" s="9"/>
      <c r="D20" s="8"/>
      <c r="E20" s="10"/>
      <c r="G20" s="6" t="s">
        <v>5</v>
      </c>
      <c r="H20" s="5" t="s">
        <v>4</v>
      </c>
      <c r="I20" s="3" t="s">
        <v>41</v>
      </c>
      <c r="J20" s="3" t="s">
        <v>1</v>
      </c>
      <c r="K20" s="4" t="s">
        <v>3</v>
      </c>
      <c r="R20" s="25" t="s">
        <v>15</v>
      </c>
      <c r="S20" s="24"/>
      <c r="T20" s="23" t="e">
        <f>T22/S22</f>
        <v>#DIV/0!</v>
      </c>
      <c r="U20" s="22">
        <f>U22/S22</f>
        <v>2.5</v>
      </c>
    </row>
    <row r="21" spans="1:21" x14ac:dyDescent="0.25">
      <c r="B21" s="3"/>
      <c r="C21" s="9"/>
      <c r="G21" s="19" t="s">
        <v>14</v>
      </c>
      <c r="H21" s="18">
        <f>[1]Personal!$M$14</f>
        <v>1200</v>
      </c>
      <c r="I21" s="8">
        <f>-U6</f>
        <v>690</v>
      </c>
      <c r="J21" s="8">
        <f>H21-I21</f>
        <v>510</v>
      </c>
      <c r="K21" s="21" t="e">
        <f>-T6</f>
        <v>#DIV/0!</v>
      </c>
      <c r="R21" s="6" t="s">
        <v>5</v>
      </c>
      <c r="S21" s="5" t="s">
        <v>4</v>
      </c>
      <c r="T21" s="3" t="s">
        <v>3</v>
      </c>
      <c r="U21" s="4" t="s">
        <v>2</v>
      </c>
    </row>
    <row r="22" spans="1:21" x14ac:dyDescent="0.25">
      <c r="B22" s="3"/>
      <c r="C22" s="20"/>
      <c r="G22" s="19" t="s">
        <v>13</v>
      </c>
      <c r="H22" s="18">
        <f>-([1]Personal!$N$18+H15)</f>
        <v>-10200</v>
      </c>
      <c r="I22" s="8">
        <f>I19*H22</f>
        <v>-5865</v>
      </c>
      <c r="K22" s="21" t="e">
        <f>K19*H22</f>
        <v>#DIV/0!</v>
      </c>
      <c r="Q22">
        <f>H22/(H15+H22)</f>
        <v>4.08</v>
      </c>
      <c r="R22" s="19" t="s">
        <v>13</v>
      </c>
      <c r="S22" s="18">
        <f>-($H$15+$H$22)/2.5*Q22</f>
        <v>4080</v>
      </c>
      <c r="T22" s="8" t="e">
        <f>K21/I21*U22</f>
        <v>#DIV/0!</v>
      </c>
      <c r="U22" s="21">
        <f>-H22</f>
        <v>10200</v>
      </c>
    </row>
    <row r="23" spans="1:21" x14ac:dyDescent="0.25">
      <c r="A23" s="12"/>
      <c r="B23" s="3"/>
      <c r="C23" s="11"/>
      <c r="D23" s="3"/>
      <c r="E23" s="3"/>
      <c r="G23" s="33"/>
      <c r="H23" s="34"/>
      <c r="I23" s="35"/>
      <c r="J23" s="35"/>
      <c r="K23" s="36"/>
      <c r="R23" s="19" t="s">
        <v>0</v>
      </c>
      <c r="S23" s="18">
        <f>-([1]Personal!$X$15+S16)</f>
        <v>-4080</v>
      </c>
      <c r="T23" s="8" t="e">
        <f>T20*S23</f>
        <v>#DIV/0!</v>
      </c>
      <c r="U23" s="21">
        <f>U20*S23</f>
        <v>-10200</v>
      </c>
    </row>
    <row r="24" spans="1:21" x14ac:dyDescent="0.25">
      <c r="C24" s="9"/>
      <c r="D24" s="8"/>
      <c r="E24" s="10"/>
      <c r="G24" s="16" t="s">
        <v>11</v>
      </c>
      <c r="H24" s="15">
        <f>SUM(H21:H23)</f>
        <v>-9000</v>
      </c>
      <c r="I24" s="15">
        <f>SUM(I21:I23)</f>
        <v>-5175</v>
      </c>
      <c r="J24" s="15">
        <f>SUM(J21:J23)</f>
        <v>510</v>
      </c>
      <c r="K24" s="14" t="e">
        <f>SUM(K21:K23)</f>
        <v>#DIV/0!</v>
      </c>
      <c r="R24" s="19"/>
      <c r="S24" s="18"/>
      <c r="U24" s="17"/>
    </row>
    <row r="25" spans="1:21" x14ac:dyDescent="0.25">
      <c r="B25" s="3"/>
      <c r="C25" s="9"/>
      <c r="H25" s="18"/>
      <c r="R25" s="16" t="s">
        <v>11</v>
      </c>
      <c r="S25" s="15">
        <f>SUM(S22:S24)</f>
        <v>0</v>
      </c>
      <c r="T25" s="15" t="e">
        <f>SUM(T22:T24)</f>
        <v>#DIV/0!</v>
      </c>
      <c r="U25" s="14">
        <f>SUM(U22:U24)</f>
        <v>0</v>
      </c>
    </row>
    <row r="26" spans="1:21" x14ac:dyDescent="0.25">
      <c r="B26" s="3"/>
      <c r="C26" s="13"/>
      <c r="D26" s="3"/>
      <c r="E26" s="3"/>
      <c r="G26" s="25" t="s">
        <v>10</v>
      </c>
      <c r="H26" s="24"/>
      <c r="I26" s="23">
        <f>I28/H28</f>
        <v>-5.4171428571428519</v>
      </c>
      <c r="J26" s="23"/>
      <c r="K26" s="22" t="e">
        <f>K28/H28</f>
        <v>#DIV/0!</v>
      </c>
    </row>
    <row r="27" spans="1:21" x14ac:dyDescent="0.25">
      <c r="A27" s="12"/>
      <c r="B27" s="3"/>
      <c r="C27" s="11"/>
      <c r="D27" s="3"/>
      <c r="E27" s="3"/>
      <c r="G27" s="6" t="s">
        <v>5</v>
      </c>
      <c r="H27" s="5" t="s">
        <v>4</v>
      </c>
      <c r="I27" s="3" t="s">
        <v>41</v>
      </c>
      <c r="J27" s="3" t="s">
        <v>1</v>
      </c>
      <c r="K27" s="4" t="s">
        <v>3</v>
      </c>
    </row>
    <row r="28" spans="1:21" x14ac:dyDescent="0.25">
      <c r="C28" s="9"/>
      <c r="D28" s="8"/>
      <c r="E28" s="10"/>
      <c r="F28" s="7">
        <f>S8/(S8+S15)</f>
        <v>0.58333333333333359</v>
      </c>
      <c r="G28" s="19" t="s">
        <v>8</v>
      </c>
      <c r="H28" s="18">
        <f>-(S8+S15)*5*F28</f>
        <v>1521.7391304347839</v>
      </c>
      <c r="I28" s="8">
        <f>-U16</f>
        <v>-8243.4782608695641</v>
      </c>
      <c r="J28" s="8">
        <f>H28-I28</f>
        <v>9765.217391304348</v>
      </c>
      <c r="K28" s="21" t="e">
        <f>-T16</f>
        <v>#DIV/0!</v>
      </c>
    </row>
    <row r="29" spans="1:21" x14ac:dyDescent="0.25">
      <c r="C29" s="9"/>
      <c r="G29" s="19" t="s">
        <v>35</v>
      </c>
      <c r="H29" s="18">
        <f>-H28</f>
        <v>-1521.7391304347839</v>
      </c>
      <c r="I29" s="8">
        <f>I26*H29</f>
        <v>8243.4782608695641</v>
      </c>
      <c r="K29" s="21" t="e">
        <f>K26*H29</f>
        <v>#DIV/0!</v>
      </c>
    </row>
    <row r="30" spans="1:21" x14ac:dyDescent="0.25">
      <c r="B30" s="3"/>
      <c r="C30" s="9"/>
      <c r="G30" s="33"/>
      <c r="H30" s="34"/>
      <c r="I30" s="35"/>
      <c r="J30" s="35"/>
      <c r="K30" s="36"/>
    </row>
    <row r="31" spans="1:21" x14ac:dyDescent="0.25">
      <c r="B31" s="3"/>
      <c r="C31" s="11"/>
      <c r="D31" s="3"/>
      <c r="E31" s="3"/>
      <c r="G31" s="16" t="s">
        <v>11</v>
      </c>
      <c r="H31" s="15">
        <f>SUM(H27:H29)</f>
        <v>0</v>
      </c>
      <c r="I31" s="15">
        <f>SUM(I27:I29)</f>
        <v>0</v>
      </c>
      <c r="J31" s="15">
        <f>SUM(J27:J29)</f>
        <v>9765.217391304348</v>
      </c>
      <c r="K31" s="14" t="e">
        <f>SUM(K27:K29)</f>
        <v>#DIV/0!</v>
      </c>
    </row>
    <row r="32" spans="1:21" x14ac:dyDescent="0.25">
      <c r="A32" s="31"/>
      <c r="C32" s="9"/>
      <c r="D32" s="8"/>
      <c r="E32" s="10"/>
      <c r="H32" s="18"/>
    </row>
    <row r="33" spans="1:11" x14ac:dyDescent="0.25">
      <c r="F33" s="7">
        <f>S15/(S8+S15)</f>
        <v>0.41666666666666641</v>
      </c>
      <c r="G33" s="25" t="s">
        <v>9</v>
      </c>
      <c r="H33" s="24"/>
      <c r="I33" s="23">
        <f>I35/H35</f>
        <v>0.5</v>
      </c>
      <c r="J33" s="23"/>
      <c r="K33" s="22" t="e">
        <f>K35/H35</f>
        <v>#DIV/0!</v>
      </c>
    </row>
    <row r="34" spans="1:11" x14ac:dyDescent="0.25">
      <c r="B34" s="3"/>
      <c r="C34" s="9"/>
      <c r="G34" s="6" t="s">
        <v>5</v>
      </c>
      <c r="H34" s="5" t="s">
        <v>4</v>
      </c>
      <c r="I34" s="3" t="s">
        <v>41</v>
      </c>
      <c r="J34" s="3" t="s">
        <v>1</v>
      </c>
      <c r="K34" s="4" t="s">
        <v>3</v>
      </c>
    </row>
    <row r="35" spans="1:11" x14ac:dyDescent="0.25">
      <c r="B35" s="3"/>
      <c r="C35" s="11"/>
      <c r="D35" s="3"/>
      <c r="E35" s="3"/>
      <c r="G35" s="19" t="s">
        <v>8</v>
      </c>
      <c r="H35" s="18">
        <f>-(S8+S15)*5*F33</f>
        <v>1086.95652173913</v>
      </c>
      <c r="I35" s="8">
        <f>-U15</f>
        <v>543.47826086956502</v>
      </c>
      <c r="J35" s="8">
        <f>H35-I35</f>
        <v>543.47826086956502</v>
      </c>
      <c r="K35" s="21" t="e">
        <f>-T15</f>
        <v>#DIV/0!</v>
      </c>
    </row>
    <row r="36" spans="1:11" x14ac:dyDescent="0.25">
      <c r="A36" s="31"/>
      <c r="C36" s="9"/>
      <c r="D36" s="8"/>
      <c r="E36" s="10"/>
      <c r="G36" s="19" t="s">
        <v>35</v>
      </c>
      <c r="H36" s="18">
        <f>-H35</f>
        <v>-1086.95652173913</v>
      </c>
      <c r="I36" s="8">
        <f>I33*H36</f>
        <v>-543.47826086956502</v>
      </c>
      <c r="K36" s="21" t="e">
        <f>K33*H36</f>
        <v>#DIV/0!</v>
      </c>
    </row>
    <row r="37" spans="1:11" x14ac:dyDescent="0.25">
      <c r="G37" s="33"/>
      <c r="H37" s="34"/>
      <c r="I37" s="35"/>
      <c r="J37" s="35"/>
      <c r="K37" s="36"/>
    </row>
    <row r="38" spans="1:11" x14ac:dyDescent="0.25">
      <c r="B38" s="3"/>
      <c r="G38" s="16" t="s">
        <v>11</v>
      </c>
      <c r="H38" s="15">
        <f>SUM(H34:H36)</f>
        <v>0</v>
      </c>
      <c r="I38" s="15">
        <f>SUM(I34:I36)</f>
        <v>0</v>
      </c>
      <c r="J38" s="15">
        <f>SUM(J34:J36)</f>
        <v>543.47826086956502</v>
      </c>
      <c r="K38" s="14" t="e">
        <f>SUM(K34:K36)</f>
        <v>#DIV/0!</v>
      </c>
    </row>
    <row r="39" spans="1:11" x14ac:dyDescent="0.25">
      <c r="B39" s="3"/>
      <c r="C39" s="11"/>
      <c r="D39" s="3"/>
      <c r="E39" s="3"/>
      <c r="H39" s="18"/>
    </row>
    <row r="40" spans="1:11" x14ac:dyDescent="0.25">
      <c r="A40" s="31"/>
      <c r="C40" s="9"/>
      <c r="D40" s="8"/>
      <c r="E40" s="10"/>
      <c r="F40" s="7">
        <f>N6/(N6+N14)</f>
        <v>0.06</v>
      </c>
      <c r="G40" s="25" t="s">
        <v>7</v>
      </c>
      <c r="H40" s="24"/>
      <c r="I40" s="23" t="e">
        <f>I42/H42</f>
        <v>#DIV/0!</v>
      </c>
      <c r="J40" s="23"/>
      <c r="K40" s="22"/>
    </row>
    <row r="41" spans="1:11" x14ac:dyDescent="0.25">
      <c r="G41" s="6" t="s">
        <v>5</v>
      </c>
      <c r="H41" s="5" t="s">
        <v>4</v>
      </c>
      <c r="I41" s="3" t="s">
        <v>41</v>
      </c>
      <c r="J41" s="3" t="s">
        <v>1</v>
      </c>
      <c r="K41" s="4" t="s">
        <v>3</v>
      </c>
    </row>
    <row r="42" spans="1:11" x14ac:dyDescent="0.25">
      <c r="B42" s="3"/>
      <c r="G42" s="19" t="s">
        <v>34</v>
      </c>
      <c r="H42" s="18">
        <f>[1]Personal!$M$22*F40</f>
        <v>0</v>
      </c>
      <c r="I42" s="8">
        <f>-P6</f>
        <v>300</v>
      </c>
      <c r="J42" s="8">
        <f>H42-I42</f>
        <v>-300</v>
      </c>
      <c r="K42" s="21"/>
    </row>
    <row r="43" spans="1:11" x14ac:dyDescent="0.25">
      <c r="B43" s="3"/>
      <c r="C43" s="11"/>
      <c r="D43" s="3"/>
      <c r="E43" s="3"/>
      <c r="G43" s="19" t="s">
        <v>35</v>
      </c>
      <c r="H43" s="18">
        <f>-H42</f>
        <v>0</v>
      </c>
      <c r="I43" s="8" t="e">
        <f>I40*H43</f>
        <v>#DIV/0!</v>
      </c>
      <c r="K43" s="17"/>
    </row>
    <row r="44" spans="1:11" x14ac:dyDescent="0.25">
      <c r="A44" s="31"/>
      <c r="D44" s="2"/>
      <c r="E44" s="10"/>
      <c r="G44" s="33"/>
      <c r="H44" s="34"/>
      <c r="I44" s="35"/>
      <c r="J44" s="35"/>
      <c r="K44" s="36"/>
    </row>
    <row r="45" spans="1:11" x14ac:dyDescent="0.25">
      <c r="G45" s="16" t="s">
        <v>11</v>
      </c>
      <c r="H45" s="15">
        <f>SUM(H41:H43)</f>
        <v>0</v>
      </c>
      <c r="I45" s="15" t="e">
        <f>SUM(I41:I43)</f>
        <v>#DIV/0!</v>
      </c>
      <c r="J45" s="15">
        <f>SUM(J41:J43)</f>
        <v>-300</v>
      </c>
      <c r="K45" s="14">
        <f>SUM(K41:K43)</f>
        <v>0</v>
      </c>
    </row>
    <row r="46" spans="1:11" x14ac:dyDescent="0.25">
      <c r="B46" s="3"/>
      <c r="H46" s="18"/>
    </row>
    <row r="47" spans="1:11" x14ac:dyDescent="0.25">
      <c r="B47" s="3"/>
      <c r="C47" s="11"/>
      <c r="D47" s="3"/>
      <c r="E47" s="3"/>
      <c r="F47" s="30">
        <f>N14/(N6+N14)</f>
        <v>0.94</v>
      </c>
      <c r="G47" s="39" t="s">
        <v>6</v>
      </c>
      <c r="H47" s="40"/>
      <c r="I47" s="41" t="e">
        <f>I49/H49</f>
        <v>#DIV/0!</v>
      </c>
      <c r="J47" s="41"/>
      <c r="K47" s="42" t="e">
        <f>K49/H49</f>
        <v>#DIV/0!</v>
      </c>
    </row>
    <row r="48" spans="1:11" x14ac:dyDescent="0.25">
      <c r="A48" s="31"/>
      <c r="D48" s="2"/>
      <c r="E48" s="10"/>
      <c r="G48" s="25" t="s">
        <v>5</v>
      </c>
      <c r="H48" s="43" t="s">
        <v>4</v>
      </c>
      <c r="I48" s="3" t="s">
        <v>41</v>
      </c>
      <c r="J48" s="44" t="s">
        <v>1</v>
      </c>
      <c r="K48" s="45" t="s">
        <v>3</v>
      </c>
    </row>
    <row r="49" spans="1:11" x14ac:dyDescent="0.25">
      <c r="G49" s="19" t="s">
        <v>34</v>
      </c>
      <c r="H49" s="18">
        <f>[1]Personal!$M$22*F47</f>
        <v>0</v>
      </c>
      <c r="I49" s="8">
        <f>-P14</f>
        <v>4700</v>
      </c>
      <c r="J49" s="8">
        <f>H49-I49</f>
        <v>-4700</v>
      </c>
      <c r="K49" s="21" t="e">
        <f>-O14</f>
        <v>#DIV/0!</v>
      </c>
    </row>
    <row r="50" spans="1:11" x14ac:dyDescent="0.25">
      <c r="B50" s="3"/>
      <c r="G50" s="19" t="s">
        <v>35</v>
      </c>
      <c r="H50" s="18">
        <f>-H49</f>
        <v>0</v>
      </c>
      <c r="I50" s="8" t="e">
        <f>I47*H50</f>
        <v>#DIV/0!</v>
      </c>
      <c r="K50" s="21" t="e">
        <f>K47*H50</f>
        <v>#DIV/0!</v>
      </c>
    </row>
    <row r="51" spans="1:11" x14ac:dyDescent="0.25">
      <c r="B51" s="3"/>
      <c r="C51" s="11"/>
      <c r="D51" s="3"/>
      <c r="E51" s="3"/>
      <c r="G51" s="19"/>
      <c r="H51" s="18"/>
      <c r="K51" s="17"/>
    </row>
    <row r="52" spans="1:11" x14ac:dyDescent="0.25">
      <c r="A52" s="31"/>
      <c r="D52" s="2"/>
      <c r="E52" s="10"/>
      <c r="G52" s="46" t="s">
        <v>11</v>
      </c>
      <c r="H52" s="47">
        <f>SUM(H48:H50)</f>
        <v>0</v>
      </c>
      <c r="I52" s="47" t="e">
        <f>SUM(I48:I50)</f>
        <v>#DIV/0!</v>
      </c>
      <c r="J52" s="47">
        <f>SUM(J48:J50)</f>
        <v>-4700</v>
      </c>
      <c r="K52" s="48" t="e">
        <f>SUM(K48:K50)</f>
        <v>#DIV/0!</v>
      </c>
    </row>
  </sheetData>
  <mergeCells count="4">
    <mergeCell ref="B2:E2"/>
    <mergeCell ref="G2:K2"/>
    <mergeCell ref="M2:P2"/>
    <mergeCell ref="R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Personal (Basis)</vt:lpstr>
      <vt:lpstr>OrangeCo (Basis)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Unrau</dc:creator>
  <cp:lastModifiedBy>Kyle Unrau</cp:lastModifiedBy>
  <dcterms:created xsi:type="dcterms:W3CDTF">2026-04-17T15:57:44Z</dcterms:created>
  <dcterms:modified xsi:type="dcterms:W3CDTF">2026-04-29T21:12:33Z</dcterms:modified>
</cp:coreProperties>
</file>